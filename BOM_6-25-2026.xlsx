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uation Components for TDCR C" sheetId="1" r:id="rId4"/>
    <sheet state="visible" name="Actuation Components for CTR Co" sheetId="2" r:id="rId5"/>
    <sheet state="visible" name="Electronic Components" sheetId="3" r:id="rId6"/>
    <sheet state="visible" name="da Vinci Research Kit (dVRK) At" sheetId="4" r:id="rId7"/>
    <sheet state="visible" name="General Components" sheetId="5" r:id="rId8"/>
    <sheet state="visible" name="Continuum Robotic Components" sheetId="6" r:id="rId9"/>
    <sheet state="hidden" name="Overall BOM" sheetId="7" r:id="rId10"/>
  </sheets>
  <definedNames/>
  <calcPr/>
  <extLst>
    <ext uri="GoogleSheetsCustomDataVersion2">
      <go:sheetsCustomData xmlns:go="http://customooxmlschemas.google.com/" r:id="rId11" roundtripDataChecksum="kSelmnL8jxbIaZy/++RtYZnlbQqSvdJipOh5l4SPnic="/>
    </ext>
  </extLst>
</workbook>
</file>

<file path=xl/sharedStrings.xml><?xml version="1.0" encoding="utf-8"?>
<sst xmlns="http://schemas.openxmlformats.org/spreadsheetml/2006/main" count="923" uniqueCount="374">
  <si>
    <t>NOTE: "Actuation Components" refers exclusively to the backend motorized drive hardware and explicitly exclude continuum robot assemblies.</t>
  </si>
  <si>
    <t xml:space="preserve">Price of Actuation Components for Tendon-driven CR (TDCR): </t>
  </si>
  <si>
    <t xml:space="preserve">Price of TDCR: </t>
  </si>
  <si>
    <t>Part Name</t>
  </si>
  <si>
    <t>Vendor</t>
  </si>
  <si>
    <t>Part No. &amp; Link</t>
  </si>
  <si>
    <t>Quantity</t>
  </si>
  <si>
    <t>Price Per Unit</t>
  </si>
  <si>
    <t>Item Total</t>
  </si>
  <si>
    <t>Notes</t>
  </si>
  <si>
    <t>Actuation Components for Tendon-driven Continuum Robot (TDCR) Config (Excludes CR)</t>
  </si>
  <si>
    <t>- 1 roll module
- 4 tendon modules</t>
  </si>
  <si>
    <t>Off-the-shelf Components</t>
  </si>
  <si>
    <t>Linear Actuator (Stepper Motor)</t>
  </si>
  <si>
    <t>Nanotec</t>
  </si>
  <si>
    <t>LA281S10-A-THCA</t>
  </si>
  <si>
    <t>Brushless Direct Current (BLDC) Motor</t>
  </si>
  <si>
    <t>Maxon</t>
  </si>
  <si>
    <t>- Price at time bought, price as of 
Jan 30th, 2026 is $206.15 per unit 
when buying 5 or more</t>
  </si>
  <si>
    <t>BLDC Motor Planetary Gearhead</t>
  </si>
  <si>
    <t>- Price at time bought, price as of 
Jan 30th, 2026 is $68.18 per unit 
when buying 5 or more</t>
  </si>
  <si>
    <t>Worm Wheel Bearing (Hollow Shaft)</t>
  </si>
  <si>
    <t>McMaster-Carr</t>
  </si>
  <si>
    <t>57155K303</t>
  </si>
  <si>
    <t>Worm</t>
  </si>
  <si>
    <t>57545K634</t>
  </si>
  <si>
    <t>Hollow Shaft (Worm Wheel)</t>
  </si>
  <si>
    <t>89495K565-89495K568</t>
  </si>
  <si>
    <t>- For length of 4 ft, 
buy only once for 2 systems</t>
  </si>
  <si>
    <t>Solid Shaft (Worm Shaft)</t>
  </si>
  <si>
    <t>4634T32-4634T323</t>
  </si>
  <si>
    <t>- For length of 3 ft, 
buy only once for 2 systems</t>
  </si>
  <si>
    <t xml:space="preserve">Motor (3 mm) Shaft Coupling </t>
  </si>
  <si>
    <t>59985K1-59985K101</t>
  </si>
  <si>
    <t>Worm (6 mm) Shaft Coupling</t>
  </si>
  <si>
    <t>59985K1-59985K104</t>
  </si>
  <si>
    <t>Open Housing Bearing (Worm)</t>
  </si>
  <si>
    <t>57155K472</t>
  </si>
  <si>
    <t>Linear Bearing</t>
  </si>
  <si>
    <t>Misumi</t>
  </si>
  <si>
    <t>LMUW6</t>
  </si>
  <si>
    <t>- Price when buying more than 10 or more</t>
  </si>
  <si>
    <t>Retaining/Snap Ring</t>
  </si>
  <si>
    <t>9968K52</t>
  </si>
  <si>
    <t>- Sold in Packs of 50, 
buy only once for both systems</t>
  </si>
  <si>
    <t>Limit Switch</t>
  </si>
  <si>
    <t>Iridescent (Amazon)</t>
  </si>
  <si>
    <t>KW11-3Z-2</t>
  </si>
  <si>
    <t>- Sold in Packs of 12, 
buy only once for both systems</t>
  </si>
  <si>
    <t>Linear Motion Shaft</t>
  </si>
  <si>
    <t>6112K42</t>
  </si>
  <si>
    <t xml:space="preserve">- </t>
  </si>
  <si>
    <t>Lead Screw</t>
  </si>
  <si>
    <t>SCREW-AAA-THCA-1000</t>
  </si>
  <si>
    <t>- For length of 1 m, 
buy only once for 2 systems</t>
  </si>
  <si>
    <t>Custom Components</t>
  </si>
  <si>
    <t>Module Frame</t>
  </si>
  <si>
    <t>Formlabs (Tough 1500 V2)</t>
  </si>
  <si>
    <t>Module_Frame_012</t>
  </si>
  <si>
    <t>Worm Wheel</t>
  </si>
  <si>
    <t>Worm_Wheel_003</t>
  </si>
  <si>
    <t>BLDC Clamp</t>
  </si>
  <si>
    <t>Bambu Lab (PLA)</t>
  </si>
  <si>
    <t>BLDC_Constraint</t>
  </si>
  <si>
    <t>Shaft Coupling Disc</t>
  </si>
  <si>
    <t>Shaft_Coupling_Disc</t>
  </si>
  <si>
    <t>Worm-Bearing Spacer</t>
  </si>
  <si>
    <t>Worm_Spacer_006</t>
  </si>
  <si>
    <t>Backlash Panel</t>
  </si>
  <si>
    <t>Backlash_Panel_003</t>
  </si>
  <si>
    <t>Shaft Collar - TDCR</t>
  </si>
  <si>
    <t>TDCR_Shaft_Collar</t>
  </si>
  <si>
    <t xml:space="preserve">Wire Router </t>
  </si>
  <si>
    <t>Wire_Router_002</t>
  </si>
  <si>
    <t>Front Frame</t>
  </si>
  <si>
    <t>Front_Frame_008</t>
  </si>
  <si>
    <t>Back Frame</t>
  </si>
  <si>
    <t>Back_Frame_003</t>
  </si>
  <si>
    <t>Lead Screw Holder Bottom</t>
  </si>
  <si>
    <t>Lead_Screw_Holder_Bottom_003</t>
  </si>
  <si>
    <t>Lead Screw Holder Top</t>
  </si>
  <si>
    <t>Lead_Screw_Holder_Top_003</t>
  </si>
  <si>
    <t>Tendon L Joint</t>
  </si>
  <si>
    <t>LJoint_Tendon_Top_Termination_008</t>
  </si>
  <si>
    <t>Roll Module Stationary Spacer</t>
  </si>
  <si>
    <t>Roll_Module_Stationary_Spacer</t>
  </si>
  <si>
    <t>Internal Tendon Tube Spacer</t>
  </si>
  <si>
    <t>Internal_Tendon_Tube_Spacer_002</t>
  </si>
  <si>
    <t>TDCR Shaft Holder</t>
  </si>
  <si>
    <t>TDCR_Shaft_Holder</t>
  </si>
  <si>
    <t>TDCR Shaft Clamp</t>
  </si>
  <si>
    <t>TDCR_Shaft_Clamp</t>
  </si>
  <si>
    <t>- only required to constrain rotation</t>
  </si>
  <si>
    <t xml:space="preserve">Price of Actuation Components for Concentric Tube Robots (CTR): </t>
  </si>
  <si>
    <t xml:space="preserve">Price of CTR: </t>
  </si>
  <si>
    <t>Actuation Components for Concentric Tube Robot (CTR) Config (Excludes CR)</t>
  </si>
  <si>
    <t>- 3 CTR modules
- Instrument module</t>
  </si>
  <si>
    <t xml:space="preserve">ACME Lead Screw </t>
  </si>
  <si>
    <t>99030A981</t>
  </si>
  <si>
    <t>ACME Hex Nut</t>
  </si>
  <si>
    <t>94815A007</t>
  </si>
  <si>
    <t>Compression Spring (23/64 x 1-3/8 in)</t>
  </si>
  <si>
    <t>Performance Tool (O'Reilly Auto Parts)</t>
  </si>
  <si>
    <t>W5200</t>
  </si>
  <si>
    <t>- 200 part spring assortment 
but only need 1 unit 
of 1 specific spring</t>
  </si>
  <si>
    <t>Coupling Disc</t>
  </si>
  <si>
    <t>Worm Bearing Spacer</t>
  </si>
  <si>
    <t>Shaft Collar - CTR Tube 1</t>
  </si>
  <si>
    <t>CTR_Shaft_Collar_Tube1</t>
  </si>
  <si>
    <t>Shaft Collar - CTR Tube 2</t>
  </si>
  <si>
    <t>CTR_Shaft_Collar_Tube2</t>
  </si>
  <si>
    <t>Shaft Collar - CTR Tube 3</t>
  </si>
  <si>
    <t>CTR Tube Holder</t>
  </si>
  <si>
    <t>CTR_Tube_Holder</t>
  </si>
  <si>
    <t>Instrument Module Frame</t>
  </si>
  <si>
    <t>Instrument_ModuleM6_Frame_002</t>
  </si>
  <si>
    <t>Instrument Tendon Constraint Module</t>
  </si>
  <si>
    <t>Instrument_Tendon_Termination_Module_004</t>
  </si>
  <si>
    <t>Instrument Spacer</t>
  </si>
  <si>
    <t>Instrument_Spacer</t>
  </si>
  <si>
    <t xml:space="preserve">Price of Electronic Components for 2 Complete Systems: </t>
  </si>
  <si>
    <t xml:space="preserve">Electronic Components </t>
  </si>
  <si>
    <t>- supports 2 actuation systems, 
1 CTR and 1 TDCR</t>
  </si>
  <si>
    <t>Nanotec Motor Controller Boards</t>
  </si>
  <si>
    <t>CM-CPB3-44-0005-1</t>
  </si>
  <si>
    <t>60V, 15A, 300W Power Supply</t>
  </si>
  <si>
    <t>Multicomp Pro (Newark)</t>
  </si>
  <si>
    <t>MP710257 US</t>
  </si>
  <si>
    <t>TP-Link 5 Port Ethernet Switch</t>
  </si>
  <si>
    <t>TP-Link (Amazon)</t>
  </si>
  <si>
    <t>TL-SG105</t>
  </si>
  <si>
    <t>22 Gauge 8 Conductor Electrical Wire</t>
  </si>
  <si>
    <t>LEDLampsWorld (Amazon)</t>
  </si>
  <si>
    <t>B0CLZDX27V</t>
  </si>
  <si>
    <t>- 100 ft per order</t>
  </si>
  <si>
    <t>22 Gauge 4 Conductor Electrical Wire</t>
  </si>
  <si>
    <t>Enerjour (Amazon)</t>
  </si>
  <si>
    <t>22-4C-100FT-CA-ZW</t>
  </si>
  <si>
    <t>Molex Mini-Fit 8 Circuit</t>
  </si>
  <si>
    <t>DigiKey</t>
  </si>
  <si>
    <t>23-0766500077-ND</t>
  </si>
  <si>
    <t>- connectors for BLDC motors to Nanotec boards</t>
  </si>
  <si>
    <t>Molex Mini-Fit 4 Circuit</t>
  </si>
  <si>
    <t>23-0766500075-ND</t>
  </si>
  <si>
    <t>- connectors for stepper motors to Nanotec boards</t>
  </si>
  <si>
    <t>Molex Mini-Fit 2 Circuit</t>
  </si>
  <si>
    <t>23-0766500074-ND</t>
  </si>
  <si>
    <t>- connectors for limit switches to Nanotec boards</t>
  </si>
  <si>
    <t>8 pin jumper Female 2.54 pitch</t>
  </si>
  <si>
    <t>1528-4939-ND</t>
  </si>
  <si>
    <t>2x12 Position Terminal Block Dist. Module</t>
  </si>
  <si>
    <t>Oono Electronics (Amazon)</t>
  </si>
  <si>
    <t>‎D-1410</t>
  </si>
  <si>
    <t>M3 6+6mm F/M Brass Hex Standoff</t>
  </si>
  <si>
    <t>uxcell (Amazon)</t>
  </si>
  <si>
    <t>‎a18091400ux0125</t>
  </si>
  <si>
    <t xml:space="preserve">Ethernet Cable - Cat 6 </t>
  </si>
  <si>
    <t>Cable Matters (Amazon)</t>
  </si>
  <si>
    <t>160001-BLK-1x5</t>
  </si>
  <si>
    <t>- 1 ft length</t>
  </si>
  <si>
    <t>22 AWG wire</t>
  </si>
  <si>
    <t>SZNNZD (Amazon)</t>
  </si>
  <si>
    <t>DGHY-GJX-BOX1</t>
  </si>
  <si>
    <t>- Wiring for individual motor connections</t>
  </si>
  <si>
    <t>16 AWG wire</t>
  </si>
  <si>
    <t>Haerkn (Amazon)</t>
  </si>
  <si>
    <t>‎B0746HRVZP</t>
  </si>
  <si>
    <t>- Wiring for power to each board</t>
  </si>
  <si>
    <t>3 Fan Kit</t>
  </si>
  <si>
    <t>Darkrock (Amazon)</t>
  </si>
  <si>
    <t>B0CD7P3S8Q</t>
  </si>
  <si>
    <t>Ethernet Female to Male</t>
  </si>
  <si>
    <t>Gintooyun (Amazon)</t>
  </si>
  <si>
    <t>‎738632035182</t>
  </si>
  <si>
    <t>Velcro Straps</t>
  </si>
  <si>
    <t xml:space="preserve"> (Amazon)</t>
  </si>
  <si>
    <t>‎Ct-ru-50-bk-01</t>
  </si>
  <si>
    <t>Stepper Connectors</t>
  </si>
  <si>
    <t xml:space="preserve"> 455-1185-ND</t>
  </si>
  <si>
    <t>Stepper Connector Crimps</t>
  </si>
  <si>
    <t>455-1319-1-ND</t>
  </si>
  <si>
    <t>- Sold in strips of 100</t>
  </si>
  <si>
    <t>Screw Terminal Block</t>
  </si>
  <si>
    <t>Recoil (Amazon)</t>
  </si>
  <si>
    <t>B0B6NZ95CD</t>
  </si>
  <si>
    <t>Male to Female Jumper Row Connector</t>
  </si>
  <si>
    <t>Dupont (Amazon)</t>
  </si>
  <si>
    <t>B0CCVHQWFX</t>
  </si>
  <si>
    <t>Controller Connectors - Logic</t>
  </si>
  <si>
    <t>455-1902-ND</t>
  </si>
  <si>
    <t>Controller Crimps - Logic</t>
  </si>
  <si>
    <t>455-1135-100-ND</t>
  </si>
  <si>
    <t>Controller Connectors - Sensors</t>
  </si>
  <si>
    <t>455-2141-ND</t>
  </si>
  <si>
    <t>Controller Crimps - Sensors</t>
  </si>
  <si>
    <t>455-2147-100-ND</t>
  </si>
  <si>
    <t>Internal Molex Connectors for Steppers</t>
  </si>
  <si>
    <t>WM19013-ND</t>
  </si>
  <si>
    <t>- For extra direct stepper motor wiring</t>
  </si>
  <si>
    <r>
      <rPr>
        <rFont val="Arial"/>
        <color rgb="FF1D1C1D"/>
      </rPr>
      <t>B</t>
    </r>
    <r>
      <rPr>
        <rFont val="Arial"/>
        <color rgb="FF000000"/>
      </rPr>
      <t>lue Pre-Crimped Wires</t>
    </r>
  </si>
  <si>
    <t>0502128000-12-L4-ND</t>
  </si>
  <si>
    <r>
      <rPr>
        <rFont val="Arial"/>
        <color rgb="FF1D1C1D"/>
      </rPr>
      <t>Green</t>
    </r>
    <r>
      <rPr>
        <rFont val="Arial"/>
        <color rgb="FF000000"/>
      </rPr>
      <t xml:space="preserve"> Pre-Crimped Wires</t>
    </r>
  </si>
  <si>
    <t>0502128000-12-G4-ND</t>
  </si>
  <si>
    <r>
      <rPr>
        <rFont val="Arial"/>
        <color rgb="FF1D1C1D"/>
      </rPr>
      <t>B</t>
    </r>
    <r>
      <rPr>
        <rFont val="Arial"/>
        <color rgb="FF000000"/>
      </rPr>
      <t>lack Pre-Crimped Wires</t>
    </r>
  </si>
  <si>
    <t>0502128000-12-B4-D-ND</t>
  </si>
  <si>
    <r>
      <rPr>
        <rFont val="Arial"/>
        <color rgb="FF1D1C1D"/>
      </rPr>
      <t>Red</t>
    </r>
    <r>
      <rPr>
        <rFont val="Arial"/>
        <color rgb="FF000000"/>
      </rPr>
      <t xml:space="preserve"> Pre-Crimped Wires</t>
    </r>
  </si>
  <si>
    <t>0502128000-12-R4-D-ND</t>
  </si>
  <si>
    <t>Electronics Housing Back Plate</t>
  </si>
  <si>
    <t>ElectronicsHousing_Back_Plate</t>
  </si>
  <si>
    <t>Electronics Housing Bottom Plate</t>
  </si>
  <si>
    <t>ElectronicsHousing_Bottom_Plate</t>
  </si>
  <si>
    <t>Electronics Housing Front Plate</t>
  </si>
  <si>
    <t>ElectronicsHousing_Front_Plate</t>
  </si>
  <si>
    <t>Electronics Housing Side Plate</t>
  </si>
  <si>
    <t>ElectronicsHousing_Side_Plate</t>
  </si>
  <si>
    <t>Electronics Input/Output Shield</t>
  </si>
  <si>
    <t>ElectronicsHousing_IO_Shield_003</t>
  </si>
  <si>
    <t>L Bracket</t>
  </si>
  <si>
    <t>ElectronicsHousing_LBracket</t>
  </si>
  <si>
    <t xml:space="preserve">Price of dVRK Attachment Components </t>
  </si>
  <si>
    <t>da Vinci Research Kit (dVRK) Attachment Components</t>
  </si>
  <si>
    <t xml:space="preserve">- 1 custom sterile adapter
- 1 constant-force spring subassembly
- (if CTR) 1 modified subassembly trocar </t>
  </si>
  <si>
    <t>Constant Force Spring (CFS)</t>
  </si>
  <si>
    <t>9293K114</t>
  </si>
  <si>
    <t>1/4 in Aluminum Sheet (6" x 6")</t>
  </si>
  <si>
    <t>ZOFORTY (Amazon)</t>
  </si>
  <si>
    <t>B0B4DV12NK</t>
  </si>
  <si>
    <t>Compression Spring (7/32" x 11/16")</t>
  </si>
  <si>
    <t>- 200 part spring assortment 
but only need 2 units of 
1 specific spring</t>
  </si>
  <si>
    <t>Spring to PSM Attachment (Cantilever Support)</t>
  </si>
  <si>
    <t>Spring_PSM_Attachment</t>
  </si>
  <si>
    <t>Back Frame Loop Attachment</t>
  </si>
  <si>
    <t>Back_Frame_Loop</t>
  </si>
  <si>
    <t>CFS Spool</t>
  </si>
  <si>
    <t>SpringSpool_PSM_Insert</t>
  </si>
  <si>
    <t>CFS Spool End Cap</t>
  </si>
  <si>
    <t>SpringSpool_EndCap</t>
  </si>
  <si>
    <t>Front Frame CFS Attachment</t>
  </si>
  <si>
    <t>Spring_FrontFrame_Attachment</t>
  </si>
  <si>
    <t>Custom Aluminum Sterile Adapter</t>
  </si>
  <si>
    <t>CO2 Laser Cutter</t>
  </si>
  <si>
    <t>dVRK_Attachment_MetalBoard</t>
  </si>
  <si>
    <t>Sterile Adapter Clamp Handle</t>
  </si>
  <si>
    <t>Moving_Jaw_dVRKclamp</t>
  </si>
  <si>
    <t>Sterile Adapter Base</t>
  </si>
  <si>
    <t>Fixed_Jaw_dVRKclamp</t>
  </si>
  <si>
    <t>Modified Trocar Base</t>
  </si>
  <si>
    <t>Trocar_Extension_Base_006</t>
  </si>
  <si>
    <t>Modified Trocar Cover</t>
  </si>
  <si>
    <t>Trocar_TopCover</t>
  </si>
  <si>
    <t>Trocar Clamp</t>
  </si>
  <si>
    <t>Trocar_EndClamp</t>
  </si>
  <si>
    <t xml:space="preserve">Price of General Components </t>
  </si>
  <si>
    <t>General Components</t>
  </si>
  <si>
    <t>Consumables</t>
  </si>
  <si>
    <t>Assorted M2 Bolts (Socket Head)</t>
  </si>
  <si>
    <t>Kindroufly (Amazon)</t>
  </si>
  <si>
    <t>B0B88RFGY9</t>
  </si>
  <si>
    <t>Assorted M2.5 Bolts (Button Head)</t>
  </si>
  <si>
    <t>B0B88KWDJ1</t>
  </si>
  <si>
    <t>Assorted M4 Bolts (Button Head)</t>
  </si>
  <si>
    <t>B0B88JB1MK</t>
  </si>
  <si>
    <t>Heat-set Inserts</t>
  </si>
  <si>
    <t>Tough 1500 V2 Cartridge</t>
  </si>
  <si>
    <t>Formlabs</t>
  </si>
  <si>
    <t>RS-C2-TO15-02</t>
  </si>
  <si>
    <t>Polylactic Acid (PLA) Basic</t>
  </si>
  <si>
    <t>Bambu Lab</t>
  </si>
  <si>
    <t>Link</t>
  </si>
  <si>
    <t>Reusable Tools</t>
  </si>
  <si>
    <t>Retaining/Snap Ring Pliers</t>
  </si>
  <si>
    <t>Irwin (MSC Industrial Direct)</t>
  </si>
  <si>
    <t>1.5 mm Hex Key</t>
  </si>
  <si>
    <t>7289A11</t>
  </si>
  <si>
    <t>Hex Fold-up Keys</t>
  </si>
  <si>
    <t>Bondhus (Amazon)</t>
  </si>
  <si>
    <t>Price of TDCR Driven Components</t>
  </si>
  <si>
    <t xml:space="preserve">Price of CTR Driven Components: </t>
  </si>
  <si>
    <t>Continuum Robotic Components</t>
  </si>
  <si>
    <r>
      <rPr>
        <rFont val="Arial"/>
        <b/>
        <color theme="1"/>
      </rPr>
      <t xml:space="preserve">TDCR Components </t>
    </r>
    <r>
      <rPr>
        <rFont val="Arial"/>
        <b val="0"/>
        <color theme="1"/>
      </rPr>
      <t>(Example Shown in Paper Provided)</t>
    </r>
  </si>
  <si>
    <t>Plastic Tube Shaft</t>
  </si>
  <si>
    <t>https://www.mcmaster.com/8585K821/</t>
  </si>
  <si>
    <t xml:space="preserve">2.8 mm Camera </t>
  </si>
  <si>
    <t>DoTheCamera</t>
  </si>
  <si>
    <t>AMC0115USB-D2.8-1.1</t>
  </si>
  <si>
    <t>Fishing String Wire</t>
  </si>
  <si>
    <t>Tendon-driven Continuum Robot (TDCR)</t>
  </si>
  <si>
    <t>CR_dVRK-wrist_321_SLA</t>
  </si>
  <si>
    <t>Tip-mount for Camera</t>
  </si>
  <si>
    <t>CAD Part Name Hyperlinked to Github</t>
  </si>
  <si>
    <r>
      <rPr>
        <rFont val="Arial"/>
        <b/>
        <color theme="1"/>
      </rPr>
      <t xml:space="preserve">CTR Components
</t>
    </r>
    <r>
      <rPr>
        <rFont val="Arial"/>
        <b val="0"/>
        <color theme="1"/>
      </rPr>
      <t>(Example Shown in Paper Provided)</t>
    </r>
  </si>
  <si>
    <t>Xu NiTi Tube 1</t>
  </si>
  <si>
    <t>Meko Metalworks</t>
  </si>
  <si>
    <t>N/A</t>
  </si>
  <si>
    <t>- Based on price quoted from Meko metalworks
on January 7, 2025</t>
  </si>
  <si>
    <t>Xu NiTi Tube 2</t>
  </si>
  <si>
    <t>Xu NiTi Tube 3</t>
  </si>
  <si>
    <t>Heat Treatment for NiTi Tubes</t>
  </si>
  <si>
    <t>Stainless Steel Tube Extension for Tube 1</t>
  </si>
  <si>
    <t>8987K39-8987K517</t>
  </si>
  <si>
    <t>- For length of 3 ft</t>
  </si>
  <si>
    <t>Stainless Steel Tube Extension for Tube 2</t>
  </si>
  <si>
    <t>5560K29-5560K321</t>
  </si>
  <si>
    <t>Stainless Steel Tube Extension for Tube 3</t>
  </si>
  <si>
    <t>8987K24-8987K512</t>
  </si>
  <si>
    <t>Loctite 820</t>
  </si>
  <si>
    <t>Loctite (Amazon)</t>
  </si>
  <si>
    <t>620 442-62040</t>
  </si>
  <si>
    <t>Pulmonary Biopsy Forceps, Oval Jaws</t>
  </si>
  <si>
    <t>Olympus (eBay)</t>
  </si>
  <si>
    <t>Olympus: FB-231D
eBay: 186999571718</t>
  </si>
  <si>
    <t>- This item was modified for the application,
the proximal handle was decoupled and the 
sheath was stripped to expose the internal tendons</t>
  </si>
  <si>
    <t>Total Price of All Hardware:</t>
  </si>
  <si>
    <t>Price of TDCR:</t>
  </si>
  <si>
    <t>Price of Actuation Components for Concentric Tube Robots (CTR):</t>
  </si>
  <si>
    <t>Price of CTR:</t>
  </si>
  <si>
    <t>Price of Electronic Components for 2 Systems:</t>
  </si>
  <si>
    <t>Price of dVRK Attachment Components:</t>
  </si>
  <si>
    <t>Price of General Off-the-shelf Components:</t>
  </si>
  <si>
    <t>TOTAL PRICE OF ALL HARDWARE:</t>
  </si>
  <si>
    <t>TOTAL PRICE OF SECTION:</t>
  </si>
  <si>
    <t>90341A103</t>
  </si>
  <si>
    <t>Roll Module Spacer</t>
  </si>
  <si>
    <t>Shaft Collar - CTR</t>
  </si>
  <si>
    <t xml:space="preserve">- 1 custom sterile adapter
- 1 </t>
  </si>
  <si>
    <t>Constant Force Springs</t>
  </si>
  <si>
    <t>PSM Cantilever Support</t>
  </si>
  <si>
    <t>Link to DXF</t>
  </si>
  <si>
    <r>
      <rPr>
        <rFont val="Arial"/>
        <b/>
        <color theme="1"/>
      </rPr>
      <t xml:space="preserve">TDCR Components </t>
    </r>
    <r>
      <rPr>
        <rFont val="Arial"/>
        <b val="0"/>
        <color theme="1"/>
      </rPr>
      <t>(Example Shown in Paper Provided)</t>
    </r>
  </si>
  <si>
    <r>
      <rPr>
        <rFont val="Arial"/>
        <b/>
        <color theme="1"/>
      </rPr>
      <t xml:space="preserve">CTR Components
</t>
    </r>
    <r>
      <rPr>
        <rFont val="Arial"/>
        <b val="0"/>
        <color theme="1"/>
      </rPr>
      <t>(Example Shown in Paper Provided)</t>
    </r>
  </si>
  <si>
    <t>M2x6 Bolts</t>
  </si>
  <si>
    <t>91292A831</t>
  </si>
  <si>
    <t>- Sold in Packs of 100, 
buy only once for both systems</t>
  </si>
  <si>
    <t>M2x8 Bolts</t>
  </si>
  <si>
    <t>91292A832</t>
  </si>
  <si>
    <t>M2x10 Bolts</t>
  </si>
  <si>
    <t>91292A833</t>
  </si>
  <si>
    <t>M2x12 Bolts</t>
  </si>
  <si>
    <t>91292A834</t>
  </si>
  <si>
    <t>M2x16 Bolts</t>
  </si>
  <si>
    <t>91292A002</t>
  </si>
  <si>
    <t>- Buy EITHER specific bolts 
or assorted bolts, NOT both</t>
  </si>
  <si>
    <t>Tough 1500 Cartridge</t>
  </si>
  <si>
    <t xml:space="preserve">Polylactic Acid (PLA </t>
  </si>
  <si>
    <t>Nanotec Controller Boards</t>
  </si>
  <si>
    <t>60V, 15A, 300W power supply</t>
  </si>
  <si>
    <t>16 Amp 2x12 Position Terminal Block Distribution</t>
  </si>
  <si>
    <t>Cat 6 ethernet cables (short 1ft)</t>
  </si>
  <si>
    <t>22 AWG wire (for individual motor connections)</t>
  </si>
  <si>
    <t>16 AWG wire (for power to each board)</t>
  </si>
  <si>
    <t>3 fan kit</t>
  </si>
  <si>
    <t>Amazon</t>
  </si>
  <si>
    <t>Initial Order</t>
  </si>
  <si>
    <t>50 feet</t>
  </si>
  <si>
    <t>22 Guage 4 Conductor Wire</t>
  </si>
  <si>
    <t>100 feet</t>
  </si>
  <si>
    <t>Stepper Connectors (455-1185-ND)</t>
  </si>
  <si>
    <t>Stepper Connector Crimps (455-1319-1-ND)</t>
  </si>
  <si>
    <t>Male to Female Jumper Connector for BLDC Motor</t>
  </si>
  <si>
    <t>Limit Switch Stuff:</t>
  </si>
  <si>
    <r>
      <rPr>
        <color rgb="FF1D1C1D"/>
      </rPr>
      <t xml:space="preserve">100 ft of </t>
    </r>
    <r>
      <rPr>
        <color rgb="FF1155CC"/>
        <u/>
      </rPr>
      <t>22 Gauge 4 Conductor Wire</t>
    </r>
  </si>
  <si>
    <r>
      <rPr>
        <color rgb="FF1D1C1D"/>
      </rPr>
      <t xml:space="preserve">100 ft of </t>
    </r>
    <r>
      <rPr>
        <color rgb="FF1155CC"/>
        <u/>
      </rPr>
      <t>22 Gauge 8 Conductor Wire</t>
    </r>
  </si>
  <si>
    <r>
      <rPr>
        <color rgb="FF1D1C1D"/>
      </rPr>
      <t xml:space="preserve">32.8 ft of </t>
    </r>
    <r>
      <rPr>
        <color rgb="FF1155CC"/>
        <u/>
      </rPr>
      <t>22 Gauge 8 Conductor Wire</t>
    </r>
  </si>
  <si>
    <r>
      <rPr>
        <color rgb="FF1D1C1D"/>
      </rPr>
      <t xml:space="preserve">25x </t>
    </r>
    <r>
      <rPr>
        <color rgb="FF1155CC"/>
        <u/>
      </rPr>
      <t>Controller Connectors - Logic</t>
    </r>
  </si>
  <si>
    <r>
      <rPr>
        <color rgb="FF1D1C1D"/>
      </rPr>
      <t xml:space="preserve">100x </t>
    </r>
    <r>
      <rPr>
        <color rgb="FF1155CC"/>
        <u/>
      </rPr>
      <t>Controller Crimps - Logic</t>
    </r>
  </si>
  <si>
    <r>
      <rPr>
        <color rgb="FF1D1C1D"/>
      </rPr>
      <t xml:space="preserve">25x </t>
    </r>
    <r>
      <rPr>
        <color rgb="FF1155CC"/>
        <u/>
      </rPr>
      <t>Controller Connectors - Sensors</t>
    </r>
  </si>
  <si>
    <r>
      <rPr>
        <color rgb="FF1D1C1D"/>
      </rPr>
      <t xml:space="preserve">100x </t>
    </r>
    <r>
      <rPr>
        <color rgb="FF1155CC"/>
        <u/>
      </rPr>
      <t>Controller Crimps - Sensors</t>
    </r>
  </si>
  <si>
    <r>
      <rPr>
        <color rgb="FF1D1C1D"/>
      </rPr>
      <t xml:space="preserve">10x </t>
    </r>
    <r>
      <rPr>
        <color rgb="FF1155CC"/>
        <u/>
      </rPr>
      <t>Molex 4-pin connector</t>
    </r>
  </si>
  <si>
    <t>Stepper motor connectors</t>
  </si>
  <si>
    <r>
      <rPr>
        <color rgb="FF1D1C1D"/>
      </rPr>
      <t xml:space="preserve">10 x </t>
    </r>
    <r>
      <rPr>
        <color rgb="FF1155CC"/>
        <u/>
      </rPr>
      <t>molex connectors for stepper motors</t>
    </r>
  </si>
  <si>
    <r>
      <rPr>
        <color rgb="FF1D1C1D"/>
      </rPr>
      <t xml:space="preserve">10 x </t>
    </r>
    <r>
      <rPr>
        <color rgb="FF1155CC"/>
        <u/>
      </rPr>
      <t>blue pre-crimped wires</t>
    </r>
  </si>
  <si>
    <r>
      <rPr>
        <color rgb="FF1D1C1D"/>
      </rPr>
      <t xml:space="preserve">10 x </t>
    </r>
    <r>
      <rPr>
        <color rgb="FF1155CC"/>
        <u/>
      </rPr>
      <t>green pre-crimped wires</t>
    </r>
  </si>
  <si>
    <r>
      <rPr>
        <color rgb="FF1D1C1D"/>
      </rPr>
      <t xml:space="preserve">10 x </t>
    </r>
    <r>
      <rPr>
        <color rgb="FF1155CC"/>
        <u/>
      </rPr>
      <t>black pre-crimped wires</t>
    </r>
  </si>
  <si>
    <r>
      <rPr>
        <color rgb="FF1D1C1D"/>
      </rPr>
      <t xml:space="preserve">10 x </t>
    </r>
    <r>
      <rPr>
        <color rgb="FF1155CC"/>
        <u/>
      </rPr>
      <t>red pre-crimped wires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</si>
</sst>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22">
    <font>
      <sz val="10.0"/>
      <color rgb="FF000000"/>
      <name val="Arial"/>
      <scheme val="minor"/>
    </font>
    <font>
      <b/>
      <sz val="16.0"/>
      <color theme="1"/>
      <name val="Arial"/>
    </font>
    <font>
      <b/>
      <color theme="1"/>
      <name val="Arial"/>
    </font>
    <font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sz val="12.0"/>
      <color rgb="FF000000"/>
      <name val="Arial"/>
    </font>
    <font/>
    <font>
      <u/>
      <color rgb="FF0000FF"/>
      <name val="Arial"/>
    </font>
    <font>
      <color rgb="FF000000"/>
      <name val="Arial"/>
    </font>
    <font>
      <u/>
      <color rgb="FF0000FF"/>
      <name val="Arial"/>
    </font>
    <font>
      <u/>
      <color rgb="FF1155CC"/>
      <name val="Arial"/>
    </font>
    <font>
      <color rgb="FF1D1C1D"/>
      <name val="Arial"/>
    </font>
    <font>
      <u/>
      <color rgb="FF0000FF"/>
      <name val="Arial"/>
    </font>
    <font>
      <u/>
      <color theme="1"/>
      <name val="Arial"/>
    </font>
    <font>
      <b/>
      <color rgb="FFFFFFFF"/>
      <name val="Arial"/>
    </font>
    <font>
      <b/>
      <color theme="0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D1C1D"/>
    </font>
    <font>
      <u/>
      <color rgb="FF1D1C1D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3" fillId="0" fontId="6" numFmtId="164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5" fillId="0" fontId="7" numFmtId="0" xfId="0" applyBorder="1" applyFont="1"/>
    <xf borderId="6" fillId="0" fontId="7" numFmtId="0" xfId="0" applyBorder="1" applyFont="1"/>
    <xf borderId="7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vertical="center"/>
    </xf>
    <xf borderId="8" fillId="0" fontId="7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9" fillId="0" fontId="7" numFmtId="0" xfId="0" applyBorder="1" applyFont="1"/>
    <xf borderId="10" fillId="0" fontId="3" numFmtId="0" xfId="0" applyAlignment="1" applyBorder="1" applyFont="1">
      <alignment vertical="center"/>
    </xf>
    <xf borderId="10" fillId="0" fontId="3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center" shrinkToFit="0" vertical="center" wrapText="1"/>
    </xf>
    <xf borderId="10" fillId="0" fontId="3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Font="1"/>
    <xf borderId="8" fillId="0" fontId="2" numFmtId="0" xfId="0" applyAlignment="1" applyBorder="1" applyFont="1">
      <alignment vertical="center"/>
    </xf>
    <xf borderId="0" fillId="0" fontId="1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2" numFmtId="0" xfId="0" applyFont="1"/>
    <xf borderId="0" fillId="0" fontId="3" numFmtId="0" xfId="0" applyAlignment="1" applyFont="1">
      <alignment vertical="bottom"/>
    </xf>
    <xf borderId="9" fillId="0" fontId="2" numFmtId="0" xfId="0" applyAlignment="1" applyBorder="1" applyFont="1">
      <alignment vertical="center"/>
    </xf>
    <xf borderId="10" fillId="0" fontId="12" numFmtId="0" xfId="0" applyBorder="1" applyFont="1"/>
    <xf borderId="10" fillId="0" fontId="3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11" fillId="0" fontId="4" numFmtId="165" xfId="0" applyAlignment="1" applyBorder="1" applyFont="1" applyNumberForma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0" fillId="0" fontId="3" numFmtId="165" xfId="0" applyAlignment="1" applyFont="1" applyNumberFormat="1">
      <alignment horizontal="center" vertical="center"/>
    </xf>
    <xf borderId="0" fillId="3" fontId="13" numFmtId="0" xfId="0" applyAlignment="1" applyFill="1" applyFont="1">
      <alignment horizontal="center"/>
    </xf>
    <xf borderId="0" fillId="0" fontId="9" numFmtId="0" xfId="0" applyAlignment="1" applyFont="1">
      <alignment vertical="bottom"/>
    </xf>
    <xf borderId="0" fillId="0" fontId="9" numFmtId="0" xfId="0" applyFont="1"/>
    <xf borderId="9" fillId="0" fontId="2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vertical="center"/>
    </xf>
    <xf borderId="2" fillId="0" fontId="6" numFmtId="164" xfId="0" applyAlignment="1" applyBorder="1" applyFont="1" applyNumberFormat="1">
      <alignment horizontal="center" vertical="center"/>
    </xf>
    <xf borderId="13" fillId="0" fontId="6" numFmtId="164" xfId="0" applyAlignment="1" applyBorder="1" applyFont="1" applyNumberFormat="1">
      <alignment horizontal="center" vertical="center"/>
    </xf>
    <xf borderId="0" fillId="0" fontId="1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14" fillId="0" fontId="2" numFmtId="0" xfId="0" applyAlignment="1" applyBorder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2" fontId="15" numFmtId="0" xfId="0" applyAlignment="1" applyFont="1">
      <alignment shrinkToFit="0" vertical="center" wrapText="1"/>
    </xf>
    <xf borderId="0" fillId="2" fontId="16" numFmtId="164" xfId="0" applyAlignment="1" applyFont="1" applyNumberFormat="1">
      <alignment vertical="center"/>
    </xf>
    <xf borderId="0" fillId="2" fontId="2" numFmtId="0" xfId="0" applyAlignment="1" applyFont="1">
      <alignment vertical="center"/>
    </xf>
    <xf borderId="0" fillId="2" fontId="3" numFmtId="0" xfId="0" applyAlignment="1" applyFont="1">
      <alignment vertical="center"/>
    </xf>
    <xf borderId="0" fillId="2" fontId="16" numFmtId="0" xfId="0" applyAlignment="1" applyFont="1">
      <alignment shrinkToFit="0" vertical="center" wrapText="1"/>
    </xf>
    <xf borderId="8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4" fontId="3" numFmtId="164" xfId="0" applyAlignment="1" applyFill="1" applyFont="1" applyNumberFormat="1">
      <alignment horizontal="center"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vertical="bottom"/>
    </xf>
    <xf borderId="0" fillId="0" fontId="20" numFmtId="0" xfId="0" applyFont="1"/>
    <xf borderId="10" fillId="0" fontId="2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us.misumi-ec.com/vona2/detail/110300026540/?HissuCode=LMUW6" TargetMode="External"/><Relationship Id="rId10" Type="http://schemas.openxmlformats.org/officeDocument/2006/relationships/hyperlink" Target="https://www.mcmaster.com/57155K472/" TargetMode="External"/><Relationship Id="rId13" Type="http://schemas.openxmlformats.org/officeDocument/2006/relationships/hyperlink" Target="https://www.amazon.com/MXRS-5-5cm-Momentary-Button-Switch/dp/B07MW2RPJY/ref=sr_1_7?content-id=amzn1.sym.e2c28ff9-1053-428b-96a0-2b4986391ffa%3Aamzn1.sym.e2c28ff9-1053-428b-96a0-2b4986391ffa&amp;crid=1L5FHUJ8VFNF4&amp;keywords=switches&amp;pd_rd_r=c6710917-7098-4693-8ab4-b270621bd2b7&amp;pd_rd_w=yxodR&amp;pd_rd_wg=buh2b&amp;pf_rd_p=e2c28ff9-1053-428b-96a0-2b4986391ffa&amp;pf_rd_r=WMKFR2V7AC257JQP8PJF&amp;pid=ujgRott&amp;qid=1695419306&amp;s=industrial&amp;sprefix=limit%2Bswitches%2Caps%2C128&amp;sr=1-7&amp;th=1" TargetMode="External"/><Relationship Id="rId12" Type="http://schemas.openxmlformats.org/officeDocument/2006/relationships/hyperlink" Target="https://www.mcmaster.com/9968K52/" TargetMode="External"/><Relationship Id="rId1" Type="http://schemas.openxmlformats.org/officeDocument/2006/relationships/hyperlink" Target="https://www.nanotec.com/us/en/products/2405-la281s10-a-thca" TargetMode="External"/><Relationship Id="rId2" Type="http://schemas.openxmlformats.org/officeDocument/2006/relationships/hyperlink" Target="https://www.maxongroup.us/maxon/view/product/283828" TargetMode="External"/><Relationship Id="rId3" Type="http://schemas.openxmlformats.org/officeDocument/2006/relationships/hyperlink" Target="https://www.maxongroup.us/maxon/view/product/gear/planetary/gp16/110322" TargetMode="External"/><Relationship Id="rId4" Type="http://schemas.openxmlformats.org/officeDocument/2006/relationships/hyperlink" Target="https://www.mcmaster.com/57155K303/" TargetMode="External"/><Relationship Id="rId9" Type="http://schemas.openxmlformats.org/officeDocument/2006/relationships/hyperlink" Target="https://www.mcmaster.com/59985K1-59985K104/" TargetMode="External"/><Relationship Id="rId15" Type="http://schemas.openxmlformats.org/officeDocument/2006/relationships/hyperlink" Target="https://www.nanotec.com/us/en/products/10762-screw-aaa-thca-1000" TargetMode="External"/><Relationship Id="rId14" Type="http://schemas.openxmlformats.org/officeDocument/2006/relationships/hyperlink" Target="https://www.mcmaster.com/6112k42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mcmaster.com/57545K634/" TargetMode="External"/><Relationship Id="rId6" Type="http://schemas.openxmlformats.org/officeDocument/2006/relationships/hyperlink" Target="https://www.mcmaster.com/89495K565-89495K568/" TargetMode="External"/><Relationship Id="rId7" Type="http://schemas.openxmlformats.org/officeDocument/2006/relationships/hyperlink" Target="https://www.mcmaster.com/4634T32-4634T323/" TargetMode="External"/><Relationship Id="rId8" Type="http://schemas.openxmlformats.org/officeDocument/2006/relationships/hyperlink" Target="https://www.mcmaster.com/59985K1-59985K101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us.misumi-ec.com/vona2/detail/110300026540/?HissuCode=LMUW6" TargetMode="External"/><Relationship Id="rId10" Type="http://schemas.openxmlformats.org/officeDocument/2006/relationships/hyperlink" Target="https://www.mcmaster.com/57155K472/" TargetMode="External"/><Relationship Id="rId13" Type="http://schemas.openxmlformats.org/officeDocument/2006/relationships/hyperlink" Target="https://www.amazon.com/MXRS-5-5cm-Momentary-Button-Switch/dp/B07MW2RPJY/ref=sr_1_7?content-id=amzn1.sym.e2c28ff9-1053-428b-96a0-2b4986391ffa%3Aamzn1.sym.e2c28ff9-1053-428b-96a0-2b4986391ffa&amp;crid=1L5FHUJ8VFNF4&amp;keywords=switches&amp;pd_rd_r=c6710917-7098-4693-8ab4-b270621bd2b7&amp;pd_rd_w=yxodR&amp;pd_rd_wg=buh2b&amp;pf_rd_p=e2c28ff9-1053-428b-96a0-2b4986391ffa&amp;pf_rd_r=WMKFR2V7AC257JQP8PJF&amp;pid=ujgRott&amp;qid=1695419306&amp;s=industrial&amp;sprefix=limit%2Bswitches%2Caps%2C128&amp;sr=1-7&amp;th=1" TargetMode="External"/><Relationship Id="rId12" Type="http://schemas.openxmlformats.org/officeDocument/2006/relationships/hyperlink" Target="https://www.mcmaster.com/9968K52/" TargetMode="External"/><Relationship Id="rId1" Type="http://schemas.openxmlformats.org/officeDocument/2006/relationships/hyperlink" Target="https://www.nanotec.com/us/en/products/2405-la281s10-a-thca" TargetMode="External"/><Relationship Id="rId2" Type="http://schemas.openxmlformats.org/officeDocument/2006/relationships/hyperlink" Target="https://www.maxongroup.us/maxon/view/product/283828" TargetMode="External"/><Relationship Id="rId3" Type="http://schemas.openxmlformats.org/officeDocument/2006/relationships/hyperlink" Target="https://www.maxongroup.us/maxon/view/product/gear/planetary/gp16/110322" TargetMode="External"/><Relationship Id="rId4" Type="http://schemas.openxmlformats.org/officeDocument/2006/relationships/hyperlink" Target="https://www.mcmaster.com/57155K303/" TargetMode="External"/><Relationship Id="rId9" Type="http://schemas.openxmlformats.org/officeDocument/2006/relationships/hyperlink" Target="https://www.mcmaster.com/59985K1-59985K104/" TargetMode="External"/><Relationship Id="rId15" Type="http://schemas.openxmlformats.org/officeDocument/2006/relationships/hyperlink" Target="https://www.nanotec.com/us/en/products/10762-screw-aaa-thca-1000" TargetMode="External"/><Relationship Id="rId14" Type="http://schemas.openxmlformats.org/officeDocument/2006/relationships/hyperlink" Target="https://www.mcmaster.com/6112k42/" TargetMode="External"/><Relationship Id="rId17" Type="http://schemas.openxmlformats.org/officeDocument/2006/relationships/hyperlink" Target="https://www.mcmaster.com/94815A007/" TargetMode="External"/><Relationship Id="rId16" Type="http://schemas.openxmlformats.org/officeDocument/2006/relationships/hyperlink" Target="https://www.mcmaster.com/99030A981/" TargetMode="External"/><Relationship Id="rId5" Type="http://schemas.openxmlformats.org/officeDocument/2006/relationships/hyperlink" Target="https://www.mcmaster.com/57545K634/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www.mcmaster.com/89495K565-89495K568/" TargetMode="External"/><Relationship Id="rId18" Type="http://schemas.openxmlformats.org/officeDocument/2006/relationships/hyperlink" Target="https://www.oreillyauto.com/detail/c/performance-tool/performance-tool-200-piece-spring-assortment/pfm0/w5200?srsltid=AfmBOooP3SAT3KJS7VTfrcdiRU4WjlSOsk2pntOdzqgZxwaeYr4hJx3B" TargetMode="External"/><Relationship Id="rId7" Type="http://schemas.openxmlformats.org/officeDocument/2006/relationships/hyperlink" Target="https://www.mcmaster.com/4634T32-4634T323/" TargetMode="External"/><Relationship Id="rId8" Type="http://schemas.openxmlformats.org/officeDocument/2006/relationships/hyperlink" Target="https://www.mcmaster.com/59985K1-59985K101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Positive-Negative-Terminal-Distribution-Terminals/dp/B0B6NZ95CD/ref=pd_bxgy_d_sccl_1/131-6920665-5567610?pd_rd_w=y35KI&amp;content-id=amzn1.sym.c51e3ad7-b551-4b1a-b43c-3cf69addb649&amp;pf_rd_p=c51e3ad7-b551-4b1a-b43c-3cf69addb649&amp;pf_rd_r=7NGFKWMAAGA7A59CEVFR&amp;pd_rd_wg=g2QG9&amp;pd_rd_r=bc2d6206-8b23-4b3a-9efc-436260d2d0c4&amp;pd_rd_i=B0B6NZ95CD&amp;th=1" TargetMode="External"/><Relationship Id="rId22" Type="http://schemas.openxmlformats.org/officeDocument/2006/relationships/hyperlink" Target="https://www.digikey.com/en/products/detail/jst-sales-america-inc/XHP-8/923773" TargetMode="External"/><Relationship Id="rId21" Type="http://schemas.openxmlformats.org/officeDocument/2006/relationships/hyperlink" Target="https://www.amazon.com/Kidisoii-Dupont-Connector-Pre-Crimped-6P-10CM/dp/B0CCVHQWFX?th=1" TargetMode="External"/><Relationship Id="rId24" Type="http://schemas.openxmlformats.org/officeDocument/2006/relationships/hyperlink" Target="https://www.digikey.com/en/products/detail/jst-sales-america-inc/PADP-12V-1-S/1300222" TargetMode="External"/><Relationship Id="rId23" Type="http://schemas.openxmlformats.org/officeDocument/2006/relationships/hyperlink" Target="https://www.digikey.com/en/products/detail/jst-sales-america-inc/SXH-001T-P0-6/26213115" TargetMode="External"/><Relationship Id="rId1" Type="http://schemas.openxmlformats.org/officeDocument/2006/relationships/hyperlink" Target="https://www.nanotec.com/us/en/products/10303-cm-cpb3-44-0005-1" TargetMode="External"/><Relationship Id="rId2" Type="http://schemas.openxmlformats.org/officeDocument/2006/relationships/hyperlink" Target="https://www.newark.com/multicomp-pro/mp710257-us/dc-power-supply-prog-15a-60v-300w/dp/42AH2837" TargetMode="External"/><Relationship Id="rId3" Type="http://schemas.openxmlformats.org/officeDocument/2006/relationships/hyperlink" Target="https://www.amazon.com/gp/product/B00A128S24/ref=ox_sc_act_title_8?smid=ATVPDKIKX0DER&amp;th=1" TargetMode="External"/><Relationship Id="rId4" Type="http://schemas.openxmlformats.org/officeDocument/2006/relationships/hyperlink" Target="https://www.amazon.com/gp/product/B0CLZDX27V/ref=ox_sc_act_title_7?th=1" TargetMode="External"/><Relationship Id="rId9" Type="http://schemas.openxmlformats.org/officeDocument/2006/relationships/hyperlink" Target="https://www.digikey.com/en/products/detail/adafruit-industries-llc/4939/14552336" TargetMode="External"/><Relationship Id="rId26" Type="http://schemas.openxmlformats.org/officeDocument/2006/relationships/hyperlink" Target="https://www.digikey.com/en/products/detail/molex/0510650600/403570" TargetMode="External"/><Relationship Id="rId25" Type="http://schemas.openxmlformats.org/officeDocument/2006/relationships/hyperlink" Target="https://www.digikey.com/en/products/detail/jst-sales-america-inc/SPH-001T-P0-5L/27687540" TargetMode="External"/><Relationship Id="rId28" Type="http://schemas.openxmlformats.org/officeDocument/2006/relationships/hyperlink" Target="https://www.digikey.com/en/products/detail/molex/0502128000-12-G4/10131008" TargetMode="External"/><Relationship Id="rId27" Type="http://schemas.openxmlformats.org/officeDocument/2006/relationships/hyperlink" Target="https://www.digikey.com/en/products/detail/molex/0502128000-12-L4/10131006" TargetMode="External"/><Relationship Id="rId5" Type="http://schemas.openxmlformats.org/officeDocument/2006/relationships/hyperlink" Target="https://www.amazon.com/Conductor-Electrical-Stranded-Extension-Automotive/dp/B0CV7WLG29/ref=sr_1_1_sspa?crid=1HSQ2IW7I4B4E&amp;dib=eyJ2IjoiMSJ9.6HdL2uxAlXI0lN7GQU8b1efO8iKGKTXxesERdsjW9sFxSDW8JWIlkN7D4FCBO8YgLfE92dkH4nont2Uv73BfxXDN2sz2iLY_xDZO4NcA2bEMQlPEC8KBchhj3dy4a_ss2716ppFWTtwAWroWfbBZDT--k9YuMmLtvhSLAyytUaxQ71WaPilqpud9izRX2qxjfTGktI-HonrdWiNuzkQ2sOxwBAwSaY8ZNleZLeiTcAcUtMpWJPhpuGbLqwso5uQWiOgRjm4bk75LgZK6tfNUfZdxEC5D_DnfEVAnrd5-NNA.857doNQjhWBP1FJgcaR9mP7XW9-w-KLN7bqdHuzLI6o&amp;dib_tag=se&amp;keywords=22%2Bgauge%2B4%2Bconductor%2Bwire&amp;qid=1721759394&amp;sprefix=22%2Bguage%2B4%2B%2Caps%2C215&amp;sr=8-1-spons&amp;sp_csd=d2lkZ2V0TmFtZT1zcF9hdGY&amp;th=1" TargetMode="External"/><Relationship Id="rId6" Type="http://schemas.openxmlformats.org/officeDocument/2006/relationships/hyperlink" Target="https://www.digikey.com/en/products/detail/molex/0766500077/2115941" TargetMode="External"/><Relationship Id="rId29" Type="http://schemas.openxmlformats.org/officeDocument/2006/relationships/hyperlink" Target="https://www.digikey.com/en/products/detail/molex/0502128000-12-B4-D/10131095" TargetMode="External"/><Relationship Id="rId7" Type="http://schemas.openxmlformats.org/officeDocument/2006/relationships/hyperlink" Target="https://www.digikey.com/en/products/detail/molex/0766500075/2115923" TargetMode="External"/><Relationship Id="rId8" Type="http://schemas.openxmlformats.org/officeDocument/2006/relationships/hyperlink" Target="https://www.digikey.com/en/products/detail/molex/0766500074/2115924" TargetMode="External"/><Relationship Id="rId31" Type="http://schemas.openxmlformats.org/officeDocument/2006/relationships/drawing" Target="../drawings/drawing3.xml"/><Relationship Id="rId30" Type="http://schemas.openxmlformats.org/officeDocument/2006/relationships/hyperlink" Target="https://www.digikey.com/en/products/detail/molex/0502128000-12-R4-D/10131100" TargetMode="External"/><Relationship Id="rId11" Type="http://schemas.openxmlformats.org/officeDocument/2006/relationships/hyperlink" Target="https://www.amazon.com/gp/product/B07KWVD986/ref=ox_sc_act_title_2?smid=A30WUG2ZDGM0XM&amp;psc=1" TargetMode="External"/><Relationship Id="rId10" Type="http://schemas.openxmlformats.org/officeDocument/2006/relationships/hyperlink" Target="https://www.amazon.com/gp/product/B08TBXQ7H6/ref=ox_sc_act_title_3?smid=A2OVMUS055KMW5&amp;th=1" TargetMode="External"/><Relationship Id="rId13" Type="http://schemas.openxmlformats.org/officeDocument/2006/relationships/hyperlink" Target="https://www.amazon.com/dp/B09Y9B4PVN?ref=ppx_yo2ov_dt_b_product_details&amp;th=1" TargetMode="External"/><Relationship Id="rId12" Type="http://schemas.openxmlformats.org/officeDocument/2006/relationships/hyperlink" Target="https://www.amazon.com/Cable-Matters-5-Pack-Snagless-Ethernet/dp/B00C4U030G/ref=sr_1_2?crid=36FU98P7N57Q3&amp;dib=eyJ2IjoiMSJ9.OxoCx0j9rnaBgkdUaAzk7kOq1u0-DaF79gJYQaXg1v4eVA45fkev5uwkug3EzmkTKZdS_2_JMgjSLq2Y2PZsXjOvudKG_pE3J5QVMobJ-QBQpEd4GioFJDX2BSgtjc0yi83NzGLhgNq8glSj__6jdiXcqbkiR-eo0frI_9KQcrByySIHg7AiVibAjklQRDqn3HLroTqDl3uFVNLQjARP_L4tLoGiGj_TizDh0Pdbq4IYTvjdL1VdOcLbvxSh7cIt2uWlIbzC_JIepVjJK-WIOXHdVS1dxi23ZpU1YF2VI_Y.cIkXsVumwRuBFA7zAbxmiVfIGRYyRLSK2Oke24VIMqI&amp;dib_tag=se&amp;keywords=cat%2B6%2Bethernet%2Bcable%2B1%2Bft&amp;qid=1719950247&amp;sprefix=cat%2B6%2Bethernet%2Bcable%2B1%2Caps%2C164&amp;sr=8-2&amp;th=1" TargetMode="External"/><Relationship Id="rId15" Type="http://schemas.openxmlformats.org/officeDocument/2006/relationships/hyperlink" Target="https://www.amazon.com/DARKROCK-Computer-Performance-Hydraulic-Warranty/dp/B0CD7P3S8Q/ref=sr_1_5?crid=1XHY2CSLDIPKZ&amp;dib=eyJ2IjoiMSJ9.-BArfDRrcRmUcV6WFn6eO8-7d9y_1v1pquEuo82KEr9GN0fQ7uKaQataLIP0jfDypjol4v_V_AhOQF7w-T6SAtVv_G5uPUV3l5W_zOcAH2YrkQssMRxl6j1ed0SeYb1jfO0Q2MdYQBDp-nKHE-szg-G9Hxcsm1OKfc4TeU0GLEJ9r_PDO1s5RqV0Sp-7Td2IRBuIEZrv_VfxPffoqEtlqhw8MzrT_fHja2wWTFgVJ5BV2IpuGvC5K11N8fTDksyM5-2l5_USLExmJsbpKyWZWIsWSRE-SxePV9pbNjmf3_A.D2BpHNzIokhdDBpXcBS0lq5hYLMUTBB2WPrCOwgHPUU&amp;dib_tag=se&amp;keywords=pc+fan&amp;qid=1719956848&amp;sprefix=pc+fan+%2Caps%2C168&amp;sr=8-5" TargetMode="External"/><Relationship Id="rId14" Type="http://schemas.openxmlformats.org/officeDocument/2006/relationships/hyperlink" Target="https://www.amazon.com/Electrical-Gauge-Silicone-Cable-Black/dp/B0746HRVZP/ref=sr_1_7?crid=95B01D985M6V&amp;dib=eyJ2IjoiMSJ9.UOICZIl4SwCD7cuZqFfCR7sxDSzPHDBk462fiq-kxbO_SyBClDd8uhZwjVMWP5Qu7xQh5Gyodk8w1BWeweEjsCYWDyFESyaVHbBF0xLiZGN7LJB7IHVPhpnYtj8Wh_cfQVThQIVx0zd_z_63Wn43FsoPOD3hywvpunS137IstCeCuFfUtMsV4oDW9j15-BSXYtdKZPQ6iEBUMTwsRDMVQtDqa2JpyqP2UwuLdEtWeOmFI3UzsrUl7_t-pUkAG3C2hoEYusBB4jnrHNX3R_hEMzwnH5urYBlZgwo_5XC06BU.MIhXbohEUiYXc9W9jWfqOoc9sk_6UNHlWCXxseZ_iMU&amp;dib_tag=se&amp;keywords=awg%2B16%2Bwire&amp;qid=1719950521&amp;sprefix=awg%2B16%2Bwir%2Caps%2C184&amp;sr=8-7&amp;th=1" TargetMode="External"/><Relationship Id="rId17" Type="http://schemas.openxmlformats.org/officeDocument/2006/relationships/hyperlink" Target="https://www.amazon.com/50PC-Cable-Ties-Reusable-Multi-Purpose/dp/B0G4CBRPDD/ref=dp_prsubs_d_sccl_3/139-5980588-4963058?pd_rd_w=NTRip&amp;content-id=amzn1.sym.be3a2f09-77ee-4ba3-b2da-1b73c76c3fe2&amp;pf_rd_p=be3a2f09-77ee-4ba3-b2da-1b73c76c3fe2&amp;pf_rd_r=ES84TDGZ9YQJ9CE081DJ&amp;pd_rd_wg=GNfTm&amp;pd_rd_r=a6fec11b-45d0-41c2-b66c-f79201893a26&amp;pd_rd_i=B0G4CBRPDD&amp;psc=1" TargetMode="External"/><Relationship Id="rId16" Type="http://schemas.openxmlformats.org/officeDocument/2006/relationships/hyperlink" Target="https://www.amazon.com/gp/product/B08D3BQZ77/ref=ox_sc_act_title_2?smid=A1L0CC1FACMFXH&amp;th=1" TargetMode="External"/><Relationship Id="rId19" Type="http://schemas.openxmlformats.org/officeDocument/2006/relationships/hyperlink" Target="https://www.digikey.com/en/products/detail/jst-sales-america-inc/SVH-41T-P1-1/26213078" TargetMode="External"/><Relationship Id="rId18" Type="http://schemas.openxmlformats.org/officeDocument/2006/relationships/hyperlink" Target="https://www.digikey.com/en/products/detail/jst-sales-america-inc/vhr-4n/608626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cmaster.com/9293K114/" TargetMode="External"/><Relationship Id="rId2" Type="http://schemas.openxmlformats.org/officeDocument/2006/relationships/hyperlink" Target="https://www.amazon.com/Aluminum-Sheet-Finely-Polished-Deburred/dp/B0B4DV12NK/ref=sr_1_2_sspa?dib=eyJ2IjoiMSJ9.jEbgQxjWTAKol_mG9eWXYpy_lVWbGLPvCpIpuHgKsYDD7dIu1aqGg3hAgkInRn5mlUmxdkMJir3p6PU2RrSLFfm4uT5vh_-JD0JnGUlbmADK8Ih5onNTD3a7EVVsQfrzuTLLMwJgEsgGt8X3sV_UbmDyfUG3pu12h17-enNFnIqrXNfscrVgINs37SCHjPEHQXYapu2jynHz-hscAPMZw37FoJEjSznwHfyBQny_4_c.ZXgRGReEarz6edqi6RKUkj1QKwc1kB6AZKX0koqr-zU&amp;dib_tag=se&amp;keywords=aluminum+plate+1%2F4+inch+thick&amp;qid=1769845437&amp;sr=8-2-spons&amp;sp_csd=d2lkZ2V0TmFtZT1zcF9hdGY&amp;psc=1" TargetMode="External"/><Relationship Id="rId3" Type="http://schemas.openxmlformats.org/officeDocument/2006/relationships/hyperlink" Target="https://www.oreillyauto.com/detail/c/performance-tool/performance-tool-200-piece-spring-assortment/pfm0/w5200?srsltid=AfmBOooP3SAT3KJS7VTfrcdiRU4WjlSOsk2pntOdzqgZxwaeYr4hJx3B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Kindroufly-Washers-Assortment-Stainless-Machine/dp/B0B88RFGY9/ref=sr_1_1_sspa?crid=2FYMGB2Q5EB9H&amp;dib=eyJ2IjoiMSJ9.DCJO0yD9I1F1gSRFr30d-40RjB7cgMUrZFVgVG2P9dJa4-oJcysMFuPx4D-xuXN9CsZjHBvg8KqKFSoqK8rQPaz4-PliPzdJ3C7bT5CzSEapcnZ9TXiJ5QDnDn2TQD42RytGYfO27uDKR8MPNfCuslKXNwT1ZTC--AvVNm0zVWOp7GN-2x8yaJHC_jEqqsZIDrVxFX0VsKZCSkIksVv0_OsmnHRA5Vh9bc3LVpvlEjo.4FWo9rMJRvCn_NZrFXd0S1mTXs6BCwNYjPKXIxmtmX0&amp;dib_tag=se&amp;keywords=m2.5%2Bscrews&amp;qid=1726098780&amp;sprefix=M2.5%2B%2Caps%2C235&amp;sr=8-1-spons&amp;sp_csd=d2lkZ2V0TmFtZT1zcF9hdGY&amp;th=1" TargetMode="External"/><Relationship Id="rId2" Type="http://schemas.openxmlformats.org/officeDocument/2006/relationships/hyperlink" Target="https://www.amazon.com/Kindroufly-Washers-Assortment-Stainless-Machine/dp/B0B88KWDJ1/ref=sr_1_1_sspa?crid=2FYMGB2Q5EB9H&amp;dib=eyJ2IjoiMSJ9.DCJO0yD9I1F1gSRFr30d-40RjB7cgMUrZFVgVG2P9dJa4-oJcysMFuPx4D-xuXN9CsZjHBvg8KqKFSoqK8rQPaz4-PliPzdJ3C7bT5CzSEapcnZ9TXiJ5QDnDn2TQD42RytGYfO27uDKR8MPNfCuslKXNwT1ZTC--AvVNm0zVWOp7GN-2x8yaJHC_jEqqsZIDrVxFX0VsKZCSkIksVv0_OsmnHRA5Vh9bc3LVpvlEjo.4FWo9rMJRvCn_NZrFXd0S1mTXs6BCwNYjPKXIxmtmX0&amp;dib_tag=se&amp;keywords=m2.5%2Bscrews&amp;qid=1726098780&amp;sprefix=M2.5%2B%2Caps%2C235&amp;sr=8-1-spons&amp;sp_csd=d2lkZ2V0TmFtZT1zcF9hdGY&amp;th=1" TargetMode="External"/><Relationship Id="rId3" Type="http://schemas.openxmlformats.org/officeDocument/2006/relationships/hyperlink" Target="https://www.amazon.com/Kindroufly-Washers-Assortment-Stainless-Machine/dp/B0B88JB1MK/ref=sr_1_1_sspa?crid=2FYMGB2Q5EB9H&amp;dib=eyJ2IjoiMSJ9.DCJO0yD9I1F1gSRFr30d-40RjB7cgMUrZFVgVG2P9dJa4-oJcysMFuPx4D-xuXN9CsZjHBvg8KqKFSoqK8rQPaz4-PliPzdJ3C7bT5CzSEapcnZ9TXiJ5QDnDn2TQD42RytGYfO27uDKR8MPNfCuslKXNwT1ZTC--AvVNm0zVWOp7GN-2x8yaJHC_jEqqsZIDrVxFX0VsKZCSkIksVv0_OsmnHRA5Vh9bc3LVpvlEjo.4FWo9rMJRvCn_NZrFXd0S1mTXs6BCwNYjPKXIxmtmX0&amp;dib_tag=se&amp;keywords=m2.5%2Bscrews&amp;qid=1726098780&amp;sprefix=M2.5%2B%2Caps%2C235&amp;sr=8-1-spons&amp;sp_csd=d2lkZ2V0TmFtZT1zcF9hdGY&amp;th=1" TargetMode="External"/><Relationship Id="rId4" Type="http://schemas.openxmlformats.org/officeDocument/2006/relationships/hyperlink" Target="https://formlabs.com/store/materials/tough-1500-resin/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us.store.bambulab.com/products/pla-basic-filament" TargetMode="External"/><Relationship Id="rId6" Type="http://schemas.openxmlformats.org/officeDocument/2006/relationships/hyperlink" Target="https://www.mscdirect.com/product/details/74039595" TargetMode="External"/><Relationship Id="rId7" Type="http://schemas.openxmlformats.org/officeDocument/2006/relationships/hyperlink" Target="https://www.mcmaster.com/7289A11/" TargetMode="External"/><Relationship Id="rId8" Type="http://schemas.openxmlformats.org/officeDocument/2006/relationships/hyperlink" Target="https://www.amazon.com/Bondhus-12591-GorillaGrip-Fold-up-16-Inch/dp/B0006O4AFQ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cmaster.com/8585K821/" TargetMode="External"/><Relationship Id="rId2" Type="http://schemas.openxmlformats.org/officeDocument/2006/relationships/hyperlink" Target="https://dothecamera.com/product/2-8mm-endoscope-module-usb/" TargetMode="External"/><Relationship Id="rId3" Type="http://schemas.openxmlformats.org/officeDocument/2006/relationships/hyperlink" Target="https://www.mcmaster.com/8987K39-8987K517/" TargetMode="External"/><Relationship Id="rId4" Type="http://schemas.openxmlformats.org/officeDocument/2006/relationships/hyperlink" Target="https://www.mcmaster.com/5560K29-5560K321/" TargetMode="External"/><Relationship Id="rId5" Type="http://schemas.openxmlformats.org/officeDocument/2006/relationships/hyperlink" Target="https://www.mcmaster.com/8987K24-8987K512/" TargetMode="External"/><Relationship Id="rId6" Type="http://schemas.openxmlformats.org/officeDocument/2006/relationships/hyperlink" Target="https://www.amazon.com/Loctite-442-62040-Retaining-Compound-Temperature/dp/B000O05C2W" TargetMode="External"/><Relationship Id="rId7" Type="http://schemas.openxmlformats.org/officeDocument/2006/relationships/hyperlink" Target="https://www.ebay.com/itm/186999571718?itmmeta=01K8SPD7XR985XPF7KG5CMC7GX&amp;hash=item2b8a0b0506:g:JC8AAOSwDSVnwOw7" TargetMode="External"/><Relationship Id="rId8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cmaster.com/8987K24-8987K512/" TargetMode="External"/><Relationship Id="rId84" Type="http://schemas.openxmlformats.org/officeDocument/2006/relationships/hyperlink" Target="https://www.digikey.com/en/products/detail/jst-sales-america-inc/SPH-001T-P0-5L/1300245" TargetMode="External"/><Relationship Id="rId83" Type="http://schemas.openxmlformats.org/officeDocument/2006/relationships/hyperlink" Target="https://www.digikey.com/en/products/detail/jst-sales-america-inc/PADP-12V-1-S/1300222" TargetMode="External"/><Relationship Id="rId42" Type="http://schemas.openxmlformats.org/officeDocument/2006/relationships/hyperlink" Target="https://www.ebay.com/itm/186999571718?itmmeta=01K8SPD7XR985XPF7KG5CMC7GX&amp;hash=item2b8a0b0506:g:JC8AAOSwDSVnwOw7" TargetMode="External"/><Relationship Id="rId86" Type="http://schemas.openxmlformats.org/officeDocument/2006/relationships/hyperlink" Target="https://www.digikey.com/en/products/detail/molex/0510650600/403570" TargetMode="External"/><Relationship Id="rId41" Type="http://schemas.openxmlformats.org/officeDocument/2006/relationships/hyperlink" Target="https://www.amazon.com/Loctite-442-62040-Retaining-Compound-Temperature/dp/B000O05C2W" TargetMode="External"/><Relationship Id="rId85" Type="http://schemas.openxmlformats.org/officeDocument/2006/relationships/hyperlink" Target="https://www.digikey.com/en/products/detail/molex/0766500075/2115923" TargetMode="External"/><Relationship Id="rId44" Type="http://schemas.openxmlformats.org/officeDocument/2006/relationships/hyperlink" Target="https://www.mcmaster.com/91292A831/" TargetMode="External"/><Relationship Id="rId88" Type="http://schemas.openxmlformats.org/officeDocument/2006/relationships/hyperlink" Target="https://www.digikey.com/en/products/detail/molex/0502128000-12-G4/10131008" TargetMode="External"/><Relationship Id="rId43" Type="http://schemas.openxmlformats.org/officeDocument/2006/relationships/hyperlink" Target="https://www.amazon.com/Kindroufly-Washers-Assortment-Stainless-Machine/dp/B0B88RFGY9/ref=sr_1_1_sspa?crid=2FYMGB2Q5EB9H&amp;dib=eyJ2IjoiMSJ9.DCJO0yD9I1F1gSRFr30d-40RjB7cgMUrZFVgVG2P9dJa4-oJcysMFuPx4D-xuXN9CsZjHBvg8KqKFSoqK8rQPaz4-PliPzdJ3C7bT5CzSEapcnZ9TXiJ5QDnDn2TQD42RytGYfO27uDKR8MPNfCuslKXNwT1ZTC--AvVNm0zVWOp7GN-2x8yaJHC_jEqqsZIDrVxFX0VsKZCSkIksVv0_OsmnHRA5Vh9bc3LVpvlEjo.4FWo9rMJRvCn_NZrFXd0S1mTXs6BCwNYjPKXIxmtmX0&amp;dib_tag=se&amp;keywords=m2.5%2Bscrews&amp;qid=1726098780&amp;sprefix=M2.5%2B%2Caps%2C235&amp;sr=8-1-spons&amp;sp_csd=d2lkZ2V0TmFtZT1zcF9hdGY&amp;th=1" TargetMode="External"/><Relationship Id="rId87" Type="http://schemas.openxmlformats.org/officeDocument/2006/relationships/hyperlink" Target="https://www.digikey.com/en/products/detail/molex/0502128000-12-L4/10131006" TargetMode="External"/><Relationship Id="rId46" Type="http://schemas.openxmlformats.org/officeDocument/2006/relationships/hyperlink" Target="https://www.mcmaster.com/91292A833/" TargetMode="External"/><Relationship Id="rId45" Type="http://schemas.openxmlformats.org/officeDocument/2006/relationships/hyperlink" Target="https://www.mcmaster.com/91292A832/" TargetMode="External"/><Relationship Id="rId89" Type="http://schemas.openxmlformats.org/officeDocument/2006/relationships/hyperlink" Target="https://www.digikey.com/en/products/detail/molex/0502128000-12-B4-D/10131095" TargetMode="External"/><Relationship Id="rId80" Type="http://schemas.openxmlformats.org/officeDocument/2006/relationships/hyperlink" Target="https://www.amazon.com/dp/B0CN663C8D/ref=twister_B0CD6XRRHQ?_encoding=UTF8&amp;psc=1" TargetMode="External"/><Relationship Id="rId82" Type="http://schemas.openxmlformats.org/officeDocument/2006/relationships/hyperlink" Target="https://www.digikey.com/en/products/detail/jst-sales-america-inc/SXH-001T-P0-6/26213075" TargetMode="External"/><Relationship Id="rId81" Type="http://schemas.openxmlformats.org/officeDocument/2006/relationships/hyperlink" Target="https://www.digikey.com/en/products/detail/jst-sales-america-inc/XHP-8/923773" TargetMode="External"/><Relationship Id="rId1" Type="http://schemas.openxmlformats.org/officeDocument/2006/relationships/hyperlink" Target="https://www.nanotec.com/us/en/products/2405-la281s10-a-thca" TargetMode="External"/><Relationship Id="rId2" Type="http://schemas.openxmlformats.org/officeDocument/2006/relationships/hyperlink" Target="https://www.maxongroup.us/maxon/view/product/283828" TargetMode="External"/><Relationship Id="rId3" Type="http://schemas.openxmlformats.org/officeDocument/2006/relationships/hyperlink" Target="https://www.maxongroup.us/maxon/view/product/gear/planetary/gp16/110322" TargetMode="External"/><Relationship Id="rId4" Type="http://schemas.openxmlformats.org/officeDocument/2006/relationships/hyperlink" Target="https://www.mcmaster.com/57155K303/" TargetMode="External"/><Relationship Id="rId9" Type="http://schemas.openxmlformats.org/officeDocument/2006/relationships/hyperlink" Target="https://www.mcmaster.com/59985K1-59985K104/" TargetMode="External"/><Relationship Id="rId48" Type="http://schemas.openxmlformats.org/officeDocument/2006/relationships/hyperlink" Target="https://www.mcmaster.com/91292A002/" TargetMode="External"/><Relationship Id="rId47" Type="http://schemas.openxmlformats.org/officeDocument/2006/relationships/hyperlink" Target="https://www.mcmaster.com/91292A834/" TargetMode="External"/><Relationship Id="rId49" Type="http://schemas.openxmlformats.org/officeDocument/2006/relationships/hyperlink" Target="https://www.amazon.com/Kindroufly-Washers-Assortment-Stainless-Machine/dp/B0B88KWDJ1/ref=sr_1_1_sspa?crid=2FYMGB2Q5EB9H&amp;dib=eyJ2IjoiMSJ9.DCJO0yD9I1F1gSRFr30d-40RjB7cgMUrZFVgVG2P9dJa4-oJcysMFuPx4D-xuXN9CsZjHBvg8KqKFSoqK8rQPaz4-PliPzdJ3C7bT5CzSEapcnZ9TXiJ5QDnDn2TQD42RytGYfO27uDKR8MPNfCuslKXNwT1ZTC--AvVNm0zVWOp7GN-2x8yaJHC_jEqqsZIDrVxFX0VsKZCSkIksVv0_OsmnHRA5Vh9bc3LVpvlEjo.4FWo9rMJRvCn_NZrFXd0S1mTXs6BCwNYjPKXIxmtmX0&amp;dib_tag=se&amp;keywords=m2.5%2Bscrews&amp;qid=1726098780&amp;sprefix=M2.5%2B%2Caps%2C235&amp;sr=8-1-spons&amp;sp_csd=d2lkZ2V0TmFtZT1zcF9hdGY&amp;th=1" TargetMode="External"/><Relationship Id="rId5" Type="http://schemas.openxmlformats.org/officeDocument/2006/relationships/hyperlink" Target="https://www.mcmaster.com/57545K634/" TargetMode="External"/><Relationship Id="rId6" Type="http://schemas.openxmlformats.org/officeDocument/2006/relationships/hyperlink" Target="https://www.mcmaster.com/89495K565-89495K568/" TargetMode="External"/><Relationship Id="rId7" Type="http://schemas.openxmlformats.org/officeDocument/2006/relationships/hyperlink" Target="https://www.mcmaster.com/4634T32-4634T323/" TargetMode="External"/><Relationship Id="rId8" Type="http://schemas.openxmlformats.org/officeDocument/2006/relationships/hyperlink" Target="https://www.mcmaster.com/59985K1-59985K101/" TargetMode="External"/><Relationship Id="rId73" Type="http://schemas.openxmlformats.org/officeDocument/2006/relationships/hyperlink" Target="https://www.amazon.com/50PC-Cable-Ties-Reusable-Multi-Purpose/dp/B0CMQSXTZX/ref=sxin_14_sbv_search_btf?content-id=amzn1.sym.5cde1a09-4942-4242-87c5-e66d2d3b6a3c%3Aamzn1.sym.5cde1a09-4942-4242-87c5-e66d2d3b6a3c&amp;crid=2FUGCEY04UTEN&amp;cv_ct_cx=zip+ties&amp;dib=eyJ2IjoiMSJ9.UrqJGuCTwdIq_nCZVREKIw.PLvCRfjQU6tp6ismU8u7VdiqK5PcU-97deROZ8nM4MQ&amp;dib_tag=se&amp;keywords=zip+ties&amp;pd_rd_i=B0CMQSXTZX&amp;pd_rd_r=265cb403-9754-4d07-be83-5ec8ed8e8036&amp;pd_rd_w=W0WfN&amp;pd_rd_wg=nrfcq&amp;pf_rd_p=5cde1a09-4942-4242-87c5-e66d2d3b6a3c&amp;pf_rd_r=0J9J1JFANCK7X11KSQ9P&amp;qid=1721763429&amp;sbo=RZvfv%2F%2FHxDF%2BO5021pAnSA%3D%3D&amp;sprefix=zip+ties%2Caps%2C176&amp;sr=1-1-5190daf0-67e3-427c-bea6-c72c1df98776" TargetMode="External"/><Relationship Id="rId72" Type="http://schemas.openxmlformats.org/officeDocument/2006/relationships/hyperlink" Target="https://www.amazon.com/gp/product/B08D3BQZ77/ref=ox_sc_act_title_2?smid=A1L0CC1FACMFXH&amp;th=1" TargetMode="External"/><Relationship Id="rId31" Type="http://schemas.openxmlformats.org/officeDocument/2006/relationships/hyperlink" Target="https://www.mcmaster.com/99030A981/" TargetMode="External"/><Relationship Id="rId75" Type="http://schemas.openxmlformats.org/officeDocument/2006/relationships/hyperlink" Target="https://www.digikey.com/en/products/detail/jst-sales-america-inc/SVH-41T-P1-1/608760" TargetMode="External"/><Relationship Id="rId30" Type="http://schemas.openxmlformats.org/officeDocument/2006/relationships/hyperlink" Target="https://www.nanotec.com/us/en/products/10762-screw-aaa-thca-1000" TargetMode="External"/><Relationship Id="rId74" Type="http://schemas.openxmlformats.org/officeDocument/2006/relationships/hyperlink" Target="https://www.digikey.com/en/products/detail/jst-sales-america-inc/vhr-4n/608626" TargetMode="External"/><Relationship Id="rId33" Type="http://schemas.openxmlformats.org/officeDocument/2006/relationships/hyperlink" Target="https://www.oreillyauto.com/detail/c/performance-tool/performance-tool-200-piece-spring-assortment/pfm0/w5200?srsltid=AfmBOooP3SAT3KJS7VTfrcdiRU4WjlSOsk2pntOdzqgZxwaeYr4hJx3B" TargetMode="External"/><Relationship Id="rId77" Type="http://schemas.openxmlformats.org/officeDocument/2006/relationships/hyperlink" Target="https://www.amazon.com/Kidisoii-Dupont-Connector-Pre-Crimped-6P-10CM/dp/B0CCVHQWFX?th=1" TargetMode="External"/><Relationship Id="rId32" Type="http://schemas.openxmlformats.org/officeDocument/2006/relationships/hyperlink" Target="https://www.mcmaster.com/94815A007/" TargetMode="External"/><Relationship Id="rId76" Type="http://schemas.openxmlformats.org/officeDocument/2006/relationships/hyperlink" Target="https://www.amazon.com/Positive-Negative-Terminal-Distribution-Terminals/dp/B0B6NZ95CD/ref=pd_bxgy_d_sccl_1/131-6920665-5567610?pd_rd_w=y35KI&amp;content-id=amzn1.sym.c51e3ad7-b551-4b1a-b43c-3cf69addb649&amp;pf_rd_p=c51e3ad7-b551-4b1a-b43c-3cf69addb649&amp;pf_rd_r=7NGFKWMAAGA7A59CEVFR&amp;pd_rd_wg=g2QG9&amp;pd_rd_r=bc2d6206-8b23-4b3a-9efc-436260d2d0c4&amp;pd_rd_i=B0B6NZ95CD&amp;th=1" TargetMode="External"/><Relationship Id="rId35" Type="http://schemas.openxmlformats.org/officeDocument/2006/relationships/hyperlink" Target="https://www.amazon.com/Aluminum-Sheet-Finely-Polished-Deburred/dp/B0B4DV12NK/ref=sr_1_2_sspa?dib=eyJ2IjoiMSJ9.jEbgQxjWTAKol_mG9eWXYpy_lVWbGLPvCpIpuHgKsYDD7dIu1aqGg3hAgkInRn5mlUmxdkMJir3p6PU2RrSLFfm4uT5vh_-JD0JnGUlbmADK8Ih5onNTD3a7EVVsQfrzuTLLMwJgEsgGt8X3sV_UbmDyfUG3pu12h17-enNFnIqrXNfscrVgINs37SCHjPEHQXYapu2jynHz-hscAPMZw37FoJEjSznwHfyBQny_4_c.ZXgRGReEarz6edqi6RKUkj1QKwc1kB6AZKX0koqr-zU&amp;dib_tag=se&amp;keywords=aluminum+plate+1%2F4+inch+thick&amp;qid=1769845437&amp;sr=8-2-spons&amp;sp_csd=d2lkZ2V0TmFtZT1zcF9hdGY&amp;psc=1" TargetMode="External"/><Relationship Id="rId79" Type="http://schemas.openxmlformats.org/officeDocument/2006/relationships/hyperlink" Target="https://www.amazon.com/gp/product/B0CLZDX27V/ref=ewc_pr_img_1?th=1" TargetMode="External"/><Relationship Id="rId34" Type="http://schemas.openxmlformats.org/officeDocument/2006/relationships/hyperlink" Target="https://www.mcmaster.com/9293K114/" TargetMode="External"/><Relationship Id="rId78" Type="http://schemas.openxmlformats.org/officeDocument/2006/relationships/hyperlink" Target="https://www.amazon.com/Conductor-Electrical-Stranded-Extension-Automotive/dp/B0CV7WLG29/ref=sr_1_1_sspa?crid=1HSQ2IW7I4B4E&amp;dib=eyJ2IjoiMSJ9.6HdL2uxAlXI0lN7GQU8b1efO8iKGKTXxesERdsjW9sFxSDW8JWIlkN7D4FCBO8YgLfE92dkH4nont2Uv73BfxXDN2sz2iLY_xDZO4NcA2bEMQlPEC8KBchhj3dy4a_ss2716ppFWTtwAWroWfbBZDT--k9YuMmLtvhSLAyytUaxQ71WaPilqpud9izRX2qxjfTGktI-HonrdWiNuzkQ2sOxwBAwSaY8ZNleZLeiTcAcUtMpWJPhpuGbLqwso5uQWiOgRjm4bk75LgZK6tfNUfZdxEC5D_DnfEVAnrd5-NNA.857doNQjhWBP1FJgcaR9mP7XW9-w-KLN7bqdHuzLI6o&amp;dib_tag=se&amp;keywords=22%2Bgauge%2B4%2Bconductor%2Bwire&amp;qid=1721759394&amp;sprefix=22%2Bguage%2B4%2B%2Caps%2C215&amp;sr=8-1-spons&amp;sp_csd=d2lkZ2V0TmFtZT1zcF9hdGY&amp;th=1" TargetMode="External"/><Relationship Id="rId71" Type="http://schemas.openxmlformats.org/officeDocument/2006/relationships/hyperlink" Target="https://www.amazon.com/dp/B09Y9B4PVN?ref=ppx_yo2ov_dt_b_product_details&amp;th=1" TargetMode="External"/><Relationship Id="rId70" Type="http://schemas.openxmlformats.org/officeDocument/2006/relationships/hyperlink" Target="https://www.digikey.com/en/products/detail/molex/0766500074/2115924" TargetMode="External"/><Relationship Id="rId37" Type="http://schemas.openxmlformats.org/officeDocument/2006/relationships/hyperlink" Target="https://dothecamera.com/product/2-8mm-endoscope-module-usb/" TargetMode="External"/><Relationship Id="rId36" Type="http://schemas.openxmlformats.org/officeDocument/2006/relationships/hyperlink" Target="https://www.oreillyauto.com/detail/c/performance-tool/performance-tool-200-piece-spring-assortment/pfm0/w5200?srsltid=AfmBOooP3SAT3KJS7VTfrcdiRU4WjlSOsk2pntOdzqgZxwaeYr4hJx3B" TargetMode="External"/><Relationship Id="rId39" Type="http://schemas.openxmlformats.org/officeDocument/2006/relationships/hyperlink" Target="https://www.mcmaster.com/5560K29-5560K321/" TargetMode="External"/><Relationship Id="rId38" Type="http://schemas.openxmlformats.org/officeDocument/2006/relationships/hyperlink" Target="https://www.mcmaster.com/8987K39-8987K517/" TargetMode="External"/><Relationship Id="rId62" Type="http://schemas.openxmlformats.org/officeDocument/2006/relationships/hyperlink" Target="https://www.amazon.com/Cable-Matters-5-Pack-Snagless-Ethernet/dp/B00C4U030G/ref=sr_1_2?crid=36FU98P7N57Q3&amp;dib=eyJ2IjoiMSJ9.OxoCx0j9rnaBgkdUaAzk7kOq1u0-DaF79gJYQaXg1v4eVA45fkev5uwkug3EzmkTKZdS_2_JMgjSLq2Y2PZsXjOvudKG_pE3J5QVMobJ-QBQpEd4GioFJDX2BSgtjc0yi83NzGLhgNq8glSj__6jdiXcqbkiR-eo0frI_9KQcrByySIHg7AiVibAjklQRDqn3HLroTqDl3uFVNLQjARP_L4tLoGiGj_TizDh0Pdbq4IYTvjdL1VdOcLbvxSh7cIt2uWlIbzC_JIepVjJK-WIOXHdVS1dxi23ZpU1YF2VI_Y.cIkXsVumwRuBFA7zAbxmiVfIGRYyRLSK2Oke24VIMqI&amp;dib_tag=se&amp;keywords=cat%2B6%2Bethernet%2Bcable%2B1%2Bft&amp;qid=1719950247&amp;sprefix=cat%2B6%2Bethernet%2Bcable%2B1%2Caps%2C164&amp;sr=8-2&amp;th=1" TargetMode="External"/><Relationship Id="rId61" Type="http://schemas.openxmlformats.org/officeDocument/2006/relationships/hyperlink" Target="https://www.amazon.com/gp/product/B07KWVD986/ref=ox_sc_act_title_2?smid=A30WUG2ZDGM0XM&amp;psc=1" TargetMode="External"/><Relationship Id="rId20" Type="http://schemas.openxmlformats.org/officeDocument/2006/relationships/hyperlink" Target="https://www.mcmaster.com/57545K634/" TargetMode="External"/><Relationship Id="rId64" Type="http://schemas.openxmlformats.org/officeDocument/2006/relationships/hyperlink" Target="https://www.amazon.com/Electrical-Gauge-Silicone-Cable-Black/dp/B0746HRVZP/ref=sr_1_7?crid=95B01D985M6V&amp;dib=eyJ2IjoiMSJ9.UOICZIl4SwCD7cuZqFfCR7sxDSzPHDBk462fiq-kxbO_SyBClDd8uhZwjVMWP5Qu7xQh5Gyodk8w1BWeweEjsCYWDyFESyaVHbBF0xLiZGN7LJB7IHVPhpnYtj8Wh_cfQVThQIVx0zd_z_63Wn43FsoPOD3hywvpunS137IstCeCuFfUtMsV4oDW9j15-BSXYtdKZPQ6iEBUMTwsRDMVQtDqa2JpyqP2UwuLdEtWeOmFI3UzsrUl7_t-pUkAG3C2hoEYusBB4jnrHNX3R_hEMzwnH5urYBlZgwo_5XC06BU.MIhXbohEUiYXc9W9jWfqOoc9sk_6UNHlWCXxseZ_iMU&amp;dib_tag=se&amp;keywords=awg+16+wire&amp;qid=1719950521&amp;sprefix=awg+16+wir%2Caps%2C184&amp;sr=8-7" TargetMode="External"/><Relationship Id="rId63" Type="http://schemas.openxmlformats.org/officeDocument/2006/relationships/hyperlink" Target="https://www.amazon.com/dp/B09Y9B4PVN?ref=ppx_yo2ov_dt_b_product_details&amp;th=1" TargetMode="External"/><Relationship Id="rId22" Type="http://schemas.openxmlformats.org/officeDocument/2006/relationships/hyperlink" Target="https://www.mcmaster.com/4634T32-4634T323/" TargetMode="External"/><Relationship Id="rId66" Type="http://schemas.openxmlformats.org/officeDocument/2006/relationships/hyperlink" Target="https://www.amazon.com/gp/product/B0CN663C8D/ref=ox_sc_act_title_7?smid=A1L0W6N2S8R25P&amp;th=1" TargetMode="External"/><Relationship Id="rId21" Type="http://schemas.openxmlformats.org/officeDocument/2006/relationships/hyperlink" Target="https://www.mcmaster.com/89495K565-89495K568/" TargetMode="External"/><Relationship Id="rId65" Type="http://schemas.openxmlformats.org/officeDocument/2006/relationships/hyperlink" Target="https://www.amazon.com/DARKROCK-Computer-Performance-Hydraulic-Warranty/dp/B0CD7P3S8Q/ref=sr_1_5?crid=1XHY2CSLDIPKZ&amp;dib=eyJ2IjoiMSJ9.-BArfDRrcRmUcV6WFn6eO8-7d9y_1v1pquEuo82KEr9GN0fQ7uKaQataLIP0jfDypjol4v_V_AhOQF7w-T6SAtVv_G5uPUV3l5W_zOcAH2YrkQssMRxl6j1ed0SeYb1jfO0Q2MdYQBDp-nKHE-szg-G9Hxcsm1OKfc4TeU0GLEJ9r_PDO1s5RqV0Sp-7Td2IRBuIEZrv_VfxPffoqEtlqhw8MzrT_fHja2wWTFgVJ5BV2IpuGvC5K11N8fTDksyM5-2l5_USLExmJsbpKyWZWIsWSRE-SxePV9pbNjmf3_A.D2BpHNzIokhdDBpXcBS0lq5hYLMUTBB2WPrCOwgHPUU&amp;dib_tag=se&amp;keywords=pc+fan&amp;qid=1719956848&amp;sprefix=pc+fan+%2Caps%2C168&amp;sr=8-5" TargetMode="External"/><Relationship Id="rId24" Type="http://schemas.openxmlformats.org/officeDocument/2006/relationships/hyperlink" Target="https://www.mcmaster.com/59985K1-59985K104/" TargetMode="External"/><Relationship Id="rId68" Type="http://schemas.openxmlformats.org/officeDocument/2006/relationships/hyperlink" Target="https://www.digikey.com/en/products/detail/molex/0766500077/2115941" TargetMode="External"/><Relationship Id="rId23" Type="http://schemas.openxmlformats.org/officeDocument/2006/relationships/hyperlink" Target="https://www.mcmaster.com/59985K1-59985K101/" TargetMode="External"/><Relationship Id="rId67" Type="http://schemas.openxmlformats.org/officeDocument/2006/relationships/hyperlink" Target="https://www.amazon.com/Conductor-Electrical-Stranded-Extension-Automotive/dp/B0CV7WLG29/ref=sr_1_1_sspa?crid=1HSQ2IW7I4B4E&amp;dib=eyJ2IjoiMSJ9.6HdL2uxAlXI0lN7GQU8b1efO8iKGKTXxesERdsjW9sFxSDW8JWIlkN7D4FCBO8YgLfE92dkH4nont2Uv73BfxXDN2sz2iLY_xDZO4NcA2bEMQlPEC8KBchhj3dy4a_ss2716ppFWTtwAWroWfbBZDT--k9YuMmLtvhSLAyytUaxQ71WaPilqpud9izRX2qxjfTGktI-HonrdWiNuzkQ2sOxwBAwSaY8ZNleZLeiTcAcUtMpWJPhpuGbLqwso5uQWiOgRjm4bk75LgZK6tfNUfZdxEC5D_DnfEVAnrd5-NNA.857doNQjhWBP1FJgcaR9mP7XW9-w-KLN7bqdHuzLI6o&amp;dib_tag=se&amp;keywords=22%2Bgauge%2B4%2Bconductor%2Bwire&amp;qid=1721759394&amp;sprefix=22%2Bguage%2B4%2B%2Caps%2C215&amp;sr=8-1-spons&amp;sp_csd=d2lkZ2V0TmFtZT1zcF9hdGY&amp;th=1" TargetMode="External"/><Relationship Id="rId60" Type="http://schemas.openxmlformats.org/officeDocument/2006/relationships/hyperlink" Target="https://www.amazon.com/gp/product/B08TBXQ7H6/ref=ox_sc_act_title_3?smid=A2OVMUS055KMW5&amp;psc=1" TargetMode="External"/><Relationship Id="rId26" Type="http://schemas.openxmlformats.org/officeDocument/2006/relationships/hyperlink" Target="https://us.misumi-ec.com/vona2/detail/110300026540/?HissuCode=LMUW6" TargetMode="External"/><Relationship Id="rId25" Type="http://schemas.openxmlformats.org/officeDocument/2006/relationships/hyperlink" Target="https://www.mcmaster.com/57155K472/" TargetMode="External"/><Relationship Id="rId69" Type="http://schemas.openxmlformats.org/officeDocument/2006/relationships/hyperlink" Target="https://www.digikey.com/en/products/detail/molex/0766500075/2115923" TargetMode="External"/><Relationship Id="rId28" Type="http://schemas.openxmlformats.org/officeDocument/2006/relationships/hyperlink" Target="https://www.amazon.com/MXRS-5-5cm-Momentary-Button-Switch/dp/B07MW2RPJY/ref=sr_1_7?content-id=amzn1.sym.e2c28ff9-1053-428b-96a0-2b4986391ffa%3Aamzn1.sym.e2c28ff9-1053-428b-96a0-2b4986391ffa&amp;crid=1L5FHUJ8VFNF4&amp;keywords=switches&amp;pd_rd_r=c6710917-7098-4693-8ab4-b270621bd2b7&amp;pd_rd_w=yxodR&amp;pd_rd_wg=buh2b&amp;pf_rd_p=e2c28ff9-1053-428b-96a0-2b4986391ffa&amp;pf_rd_r=WMKFR2V7AC257JQP8PJF&amp;pid=ujgRott&amp;qid=1695419306&amp;s=industrial&amp;sprefix=limit%2Bswitches%2Caps%2C128&amp;sr=1-7&amp;th=1" TargetMode="External"/><Relationship Id="rId27" Type="http://schemas.openxmlformats.org/officeDocument/2006/relationships/hyperlink" Target="https://www.mcmaster.com/90341A103/" TargetMode="External"/><Relationship Id="rId29" Type="http://schemas.openxmlformats.org/officeDocument/2006/relationships/hyperlink" Target="https://www.mcmaster.com/6112k42/" TargetMode="External"/><Relationship Id="rId51" Type="http://schemas.openxmlformats.org/officeDocument/2006/relationships/hyperlink" Target="https://formlabs.com/store/materials/tough-1500-resin/" TargetMode="External"/><Relationship Id="rId50" Type="http://schemas.openxmlformats.org/officeDocument/2006/relationships/hyperlink" Target="https://www.amazon.com/Kindroufly-Washers-Assortment-Stainless-Machine/dp/B0B88JB1MK/ref=sr_1_1_sspa?crid=2FYMGB2Q5EB9H&amp;dib=eyJ2IjoiMSJ9.DCJO0yD9I1F1gSRFr30d-40RjB7cgMUrZFVgVG2P9dJa4-oJcysMFuPx4D-xuXN9CsZjHBvg8KqKFSoqK8rQPaz4-PliPzdJ3C7bT5CzSEapcnZ9TXiJ5QDnDn2TQD42RytGYfO27uDKR8MPNfCuslKXNwT1ZTC--AvVNm0zVWOp7GN-2x8yaJHC_jEqqsZIDrVxFX0VsKZCSkIksVv0_OsmnHRA5Vh9bc3LVpvlEjo.4FWo9rMJRvCn_NZrFXd0S1mTXs6BCwNYjPKXIxmtmX0&amp;dib_tag=se&amp;keywords=m2.5%2Bscrews&amp;qid=1726098780&amp;sprefix=M2.5%2B%2Caps%2C235&amp;sr=8-1-spons&amp;sp_csd=d2lkZ2V0TmFtZT1zcF9hdGY&amp;th=1" TargetMode="External"/><Relationship Id="rId53" Type="http://schemas.openxmlformats.org/officeDocument/2006/relationships/hyperlink" Target="https://www.nanotec.com/us/en/products/10303-cm-cpb3-44-0005-1" TargetMode="External"/><Relationship Id="rId52" Type="http://schemas.openxmlformats.org/officeDocument/2006/relationships/hyperlink" Target="https://www.amazon.com/Bondhus-12591-GorillaGrip-Fold-up-16-Inch/dp/B0006O4AFQ" TargetMode="External"/><Relationship Id="rId11" Type="http://schemas.openxmlformats.org/officeDocument/2006/relationships/hyperlink" Target="https://us.misumi-ec.com/vona2/detail/110300026540/?HissuCode=LMUW6" TargetMode="External"/><Relationship Id="rId55" Type="http://schemas.openxmlformats.org/officeDocument/2006/relationships/hyperlink" Target="https://www.amazon.com/gp/product/B0CN663C8D/ref=ox_sc_act_title_7?smid=A1L0W6N2S8R25P&amp;th=1" TargetMode="External"/><Relationship Id="rId10" Type="http://schemas.openxmlformats.org/officeDocument/2006/relationships/hyperlink" Target="https://www.mcmaster.com/57155K472/" TargetMode="External"/><Relationship Id="rId54" Type="http://schemas.openxmlformats.org/officeDocument/2006/relationships/hyperlink" Target="https://www.amazon.com/gp/product/B00A128S24/ref=ox_sc_act_title_8?smid=ATVPDKIKX0DER&amp;psc=1" TargetMode="External"/><Relationship Id="rId13" Type="http://schemas.openxmlformats.org/officeDocument/2006/relationships/hyperlink" Target="https://www.amazon.com/MXRS-5-5cm-Momentary-Button-Switch/dp/B07MW2RPJY/ref=sr_1_7?content-id=amzn1.sym.e2c28ff9-1053-428b-96a0-2b4986391ffa%3Aamzn1.sym.e2c28ff9-1053-428b-96a0-2b4986391ffa&amp;crid=1L5FHUJ8VFNF4&amp;keywords=switches&amp;pd_rd_r=c6710917-7098-4693-8ab4-b270621bd2b7&amp;pd_rd_w=yxodR&amp;pd_rd_wg=buh2b&amp;pf_rd_p=e2c28ff9-1053-428b-96a0-2b4986391ffa&amp;pf_rd_r=WMKFR2V7AC257JQP8PJF&amp;pid=ujgRott&amp;qid=1695419306&amp;s=industrial&amp;sprefix=limit%2Bswitches%2Caps%2C128&amp;sr=1-7&amp;th=1" TargetMode="External"/><Relationship Id="rId57" Type="http://schemas.openxmlformats.org/officeDocument/2006/relationships/hyperlink" Target="https://www.digikey.com/en/products/detail/molex/0766500075/2115923" TargetMode="External"/><Relationship Id="rId12" Type="http://schemas.openxmlformats.org/officeDocument/2006/relationships/hyperlink" Target="https://www.mcmaster.com/90341A103/" TargetMode="External"/><Relationship Id="rId56" Type="http://schemas.openxmlformats.org/officeDocument/2006/relationships/hyperlink" Target="https://www.digikey.com/en/products/detail/molex/0766500077/2115941" TargetMode="External"/><Relationship Id="rId91" Type="http://schemas.openxmlformats.org/officeDocument/2006/relationships/drawing" Target="../drawings/drawing7.xml"/><Relationship Id="rId90" Type="http://schemas.openxmlformats.org/officeDocument/2006/relationships/hyperlink" Target="https://www.digikey.com/en/products/detail/molex/0502128000-12-R4-D/10131100" TargetMode="External"/><Relationship Id="rId15" Type="http://schemas.openxmlformats.org/officeDocument/2006/relationships/hyperlink" Target="https://www.nanotec.com/us/en/products/10762-screw-aaa-thca-1000" TargetMode="External"/><Relationship Id="rId59" Type="http://schemas.openxmlformats.org/officeDocument/2006/relationships/hyperlink" Target="https://www.newark.com/multicomp-pro/mp710257-us/dc-power-supply-prog-15a-60v-300w/dp/42AH2837" TargetMode="External"/><Relationship Id="rId14" Type="http://schemas.openxmlformats.org/officeDocument/2006/relationships/hyperlink" Target="https://www.mcmaster.com/6112k42/" TargetMode="External"/><Relationship Id="rId58" Type="http://schemas.openxmlformats.org/officeDocument/2006/relationships/hyperlink" Target="https://www.digikey.com/en/products/detail/adafruit-industries-llc/4939/14552336" TargetMode="External"/><Relationship Id="rId17" Type="http://schemas.openxmlformats.org/officeDocument/2006/relationships/hyperlink" Target="https://www.maxongroup.us/maxon/view/product/283828" TargetMode="External"/><Relationship Id="rId16" Type="http://schemas.openxmlformats.org/officeDocument/2006/relationships/hyperlink" Target="https://www.nanotec.com/us/en/products/2405-la281s10-a-thca" TargetMode="External"/><Relationship Id="rId19" Type="http://schemas.openxmlformats.org/officeDocument/2006/relationships/hyperlink" Target="https://www.mcmaster.com/57155K303/" TargetMode="External"/><Relationship Id="rId18" Type="http://schemas.openxmlformats.org/officeDocument/2006/relationships/hyperlink" Target="https://www.maxongroup.us/maxon/view/product/gear/planetary/gp16/1103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3.38"/>
    <col customWidth="1" min="3" max="4" width="22.88"/>
    <col customWidth="1" min="5" max="5" width="9.63"/>
    <col customWidth="1" min="6" max="6" width="15.25"/>
    <col customWidth="1" min="8" max="8" width="19.0"/>
  </cols>
  <sheetData>
    <row r="1" ht="15.75" customHeight="1">
      <c r="A1" s="1" t="s">
        <v>0</v>
      </c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/>
      <c r="B3" s="5" t="s">
        <v>1</v>
      </c>
      <c r="C3" s="6">
        <f>sum(G7:G39)</f>
        <v>1095</v>
      </c>
      <c r="D3" s="7" t="s">
        <v>2</v>
      </c>
      <c r="E3" s="8">
        <f>'Continuum Robotic Components'!C2</f>
        <v>110.2</v>
      </c>
      <c r="F3" s="4"/>
      <c r="G3" s="4"/>
      <c r="H3" s="4"/>
      <c r="I3" s="4"/>
      <c r="J3" s="4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/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/>
      <c r="J5" s="4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9" t="s">
        <v>10</v>
      </c>
      <c r="B6" s="10"/>
      <c r="C6" s="10"/>
      <c r="D6" s="10"/>
      <c r="E6" s="10"/>
      <c r="F6" s="10"/>
      <c r="G6" s="11"/>
      <c r="H6" s="2" t="s">
        <v>11</v>
      </c>
      <c r="I6" s="4"/>
      <c r="J6" s="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2" t="s">
        <v>12</v>
      </c>
      <c r="B7" s="3" t="s">
        <v>13</v>
      </c>
      <c r="C7" s="13" t="s">
        <v>14</v>
      </c>
      <c r="D7" s="14" t="s">
        <v>15</v>
      </c>
      <c r="E7" s="13">
        <v>4.0</v>
      </c>
      <c r="F7" s="15">
        <v>113.3</v>
      </c>
      <c r="G7" s="15">
        <f t="shared" ref="G7:G22" si="1">E7*F7</f>
        <v>453.2</v>
      </c>
      <c r="H7" s="3"/>
      <c r="I7" s="4"/>
      <c r="J7" s="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6"/>
      <c r="B8" s="3" t="s">
        <v>16</v>
      </c>
      <c r="C8" s="13" t="s">
        <v>17</v>
      </c>
      <c r="D8" s="14">
        <v>283828.0</v>
      </c>
      <c r="E8" s="13">
        <v>1.0</v>
      </c>
      <c r="F8" s="15">
        <v>190.88</v>
      </c>
      <c r="G8" s="15">
        <f t="shared" si="1"/>
        <v>190.88</v>
      </c>
      <c r="H8" s="3" t="s">
        <v>18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6"/>
      <c r="B9" s="3" t="s">
        <v>19</v>
      </c>
      <c r="C9" s="13" t="s">
        <v>17</v>
      </c>
      <c r="D9" s="14">
        <v>110322.0</v>
      </c>
      <c r="E9" s="13">
        <v>1.0</v>
      </c>
      <c r="F9" s="15">
        <v>63.13</v>
      </c>
      <c r="G9" s="15">
        <f t="shared" si="1"/>
        <v>63.13</v>
      </c>
      <c r="H9" s="3" t="s">
        <v>20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6"/>
      <c r="B10" s="3" t="s">
        <v>21</v>
      </c>
      <c r="C10" s="13" t="s">
        <v>22</v>
      </c>
      <c r="D10" s="14" t="s">
        <v>23</v>
      </c>
      <c r="E10" s="13">
        <v>1.0</v>
      </c>
      <c r="F10" s="15">
        <v>6.67</v>
      </c>
      <c r="G10" s="15">
        <f t="shared" si="1"/>
        <v>6.67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6"/>
      <c r="B11" s="3" t="s">
        <v>24</v>
      </c>
      <c r="C11" s="13" t="s">
        <v>22</v>
      </c>
      <c r="D11" s="14" t="s">
        <v>25</v>
      </c>
      <c r="E11" s="13">
        <v>1.0</v>
      </c>
      <c r="F11" s="15">
        <v>15.63</v>
      </c>
      <c r="G11" s="15">
        <f t="shared" si="1"/>
        <v>15.63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6"/>
      <c r="B12" s="3" t="s">
        <v>26</v>
      </c>
      <c r="C12" s="13" t="s">
        <v>22</v>
      </c>
      <c r="D12" s="14" t="s">
        <v>27</v>
      </c>
      <c r="E12" s="13">
        <v>1.0</v>
      </c>
      <c r="F12" s="15">
        <v>17.4</v>
      </c>
      <c r="G12" s="15">
        <f t="shared" si="1"/>
        <v>17.4</v>
      </c>
      <c r="H12" s="3" t="s">
        <v>28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6"/>
      <c r="B13" s="3" t="s">
        <v>29</v>
      </c>
      <c r="C13" s="13" t="s">
        <v>22</v>
      </c>
      <c r="D13" s="14" t="s">
        <v>30</v>
      </c>
      <c r="E13" s="13">
        <v>1.0</v>
      </c>
      <c r="F13" s="15">
        <v>3.04</v>
      </c>
      <c r="G13" s="15">
        <f t="shared" si="1"/>
        <v>3.04</v>
      </c>
      <c r="H13" s="3" t="s">
        <v>31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6"/>
      <c r="B14" s="3" t="s">
        <v>32</v>
      </c>
      <c r="C14" s="13" t="s">
        <v>22</v>
      </c>
      <c r="D14" s="14" t="s">
        <v>33</v>
      </c>
      <c r="E14" s="13">
        <v>1.0</v>
      </c>
      <c r="F14" s="15">
        <v>19.62</v>
      </c>
      <c r="G14" s="15">
        <f t="shared" si="1"/>
        <v>19.62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6"/>
      <c r="B15" s="3" t="s">
        <v>34</v>
      </c>
      <c r="C15" s="13" t="s">
        <v>22</v>
      </c>
      <c r="D15" s="14" t="s">
        <v>35</v>
      </c>
      <c r="E15" s="13">
        <v>1.0</v>
      </c>
      <c r="F15" s="15">
        <v>19.62</v>
      </c>
      <c r="G15" s="15">
        <f t="shared" si="1"/>
        <v>19.62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6"/>
      <c r="B16" s="3" t="s">
        <v>36</v>
      </c>
      <c r="C16" s="13" t="s">
        <v>22</v>
      </c>
      <c r="D16" s="14" t="s">
        <v>37</v>
      </c>
      <c r="E16" s="13">
        <v>1.0</v>
      </c>
      <c r="F16" s="15">
        <v>10.0</v>
      </c>
      <c r="G16" s="15">
        <f t="shared" si="1"/>
        <v>10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6"/>
      <c r="B17" s="3" t="s">
        <v>38</v>
      </c>
      <c r="C17" s="13" t="s">
        <v>39</v>
      </c>
      <c r="D17" s="14" t="s">
        <v>40</v>
      </c>
      <c r="E17" s="13">
        <v>10.0</v>
      </c>
      <c r="F17" s="15">
        <v>16.58</v>
      </c>
      <c r="G17" s="15">
        <f t="shared" si="1"/>
        <v>165.8</v>
      </c>
      <c r="H17" s="3" t="s">
        <v>41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6"/>
      <c r="B18" s="3" t="s">
        <v>42</v>
      </c>
      <c r="C18" s="13" t="s">
        <v>22</v>
      </c>
      <c r="D18" s="14" t="s">
        <v>43</v>
      </c>
      <c r="E18" s="13">
        <v>1.0</v>
      </c>
      <c r="F18" s="15">
        <v>10.86</v>
      </c>
      <c r="G18" s="15">
        <f t="shared" si="1"/>
        <v>10.86</v>
      </c>
      <c r="H18" s="3" t="s">
        <v>44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6"/>
      <c r="B19" s="3" t="s">
        <v>45</v>
      </c>
      <c r="C19" s="13" t="s">
        <v>46</v>
      </c>
      <c r="D19" s="14" t="s">
        <v>47</v>
      </c>
      <c r="E19" s="13">
        <v>1.0</v>
      </c>
      <c r="F19" s="15">
        <v>5.29</v>
      </c>
      <c r="G19" s="15">
        <f t="shared" si="1"/>
        <v>5.29</v>
      </c>
      <c r="H19" s="3" t="s">
        <v>48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6"/>
      <c r="B20" s="3"/>
      <c r="C20" s="13"/>
      <c r="D20" s="17"/>
      <c r="E20" s="13"/>
      <c r="F20" s="13"/>
      <c r="G20" s="13">
        <f t="shared" si="1"/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6"/>
      <c r="B21" s="18" t="s">
        <v>49</v>
      </c>
      <c r="C21" s="13" t="s">
        <v>22</v>
      </c>
      <c r="D21" s="14" t="s">
        <v>50</v>
      </c>
      <c r="E21" s="13">
        <v>2.0</v>
      </c>
      <c r="F21" s="15">
        <v>12.98</v>
      </c>
      <c r="G21" s="15">
        <f t="shared" si="1"/>
        <v>25.96</v>
      </c>
      <c r="H21" s="3" t="s">
        <v>51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9"/>
      <c r="B22" s="20" t="s">
        <v>52</v>
      </c>
      <c r="C22" s="21" t="s">
        <v>14</v>
      </c>
      <c r="D22" s="22" t="s">
        <v>53</v>
      </c>
      <c r="E22" s="21">
        <v>1.0</v>
      </c>
      <c r="F22" s="23">
        <v>87.9</v>
      </c>
      <c r="G22" s="23">
        <f t="shared" si="1"/>
        <v>87.9</v>
      </c>
      <c r="H22" s="20" t="s">
        <v>54</v>
      </c>
      <c r="I22" s="20"/>
      <c r="J22" s="2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2" t="s">
        <v>55</v>
      </c>
      <c r="B23" s="3" t="s">
        <v>56</v>
      </c>
      <c r="C23" s="13" t="s">
        <v>57</v>
      </c>
      <c r="D23" s="17" t="s">
        <v>58</v>
      </c>
      <c r="E23" s="13">
        <v>5.0</v>
      </c>
      <c r="F23" s="13"/>
      <c r="G23" s="1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6"/>
      <c r="B24" s="3" t="s">
        <v>59</v>
      </c>
      <c r="C24" s="13" t="s">
        <v>57</v>
      </c>
      <c r="D24" s="17" t="s">
        <v>60</v>
      </c>
      <c r="E24" s="13">
        <v>1.0</v>
      </c>
      <c r="F24" s="13"/>
      <c r="G24" s="1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6"/>
      <c r="B25" s="3" t="s">
        <v>61</v>
      </c>
      <c r="C25" s="13" t="s">
        <v>62</v>
      </c>
      <c r="D25" s="17" t="s">
        <v>63</v>
      </c>
      <c r="E25" s="13">
        <v>1.0</v>
      </c>
      <c r="F25" s="13"/>
      <c r="G25" s="1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6"/>
      <c r="B26" s="3" t="s">
        <v>64</v>
      </c>
      <c r="C26" s="13" t="s">
        <v>62</v>
      </c>
      <c r="D26" s="13" t="s">
        <v>65</v>
      </c>
      <c r="E26" s="13">
        <v>1.0</v>
      </c>
      <c r="F26" s="13"/>
      <c r="G26" s="1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6"/>
      <c r="B27" s="3" t="s">
        <v>66</v>
      </c>
      <c r="C27" s="13" t="s">
        <v>62</v>
      </c>
      <c r="D27" s="17" t="s">
        <v>67</v>
      </c>
      <c r="E27" s="13">
        <v>1.0</v>
      </c>
      <c r="F27" s="13"/>
      <c r="G27" s="1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6"/>
      <c r="B28" s="3" t="s">
        <v>68</v>
      </c>
      <c r="C28" s="13" t="s">
        <v>62</v>
      </c>
      <c r="D28" s="17" t="s">
        <v>69</v>
      </c>
      <c r="E28" s="13">
        <v>1.0</v>
      </c>
      <c r="F28" s="13"/>
      <c r="G28" s="1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6"/>
      <c r="B29" s="3" t="s">
        <v>70</v>
      </c>
      <c r="C29" s="13" t="s">
        <v>57</v>
      </c>
      <c r="D29" s="17" t="s">
        <v>71</v>
      </c>
      <c r="E29" s="13">
        <v>1.0</v>
      </c>
      <c r="F29" s="13"/>
      <c r="G29" s="1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6"/>
      <c r="B30" s="3" t="s">
        <v>72</v>
      </c>
      <c r="C30" s="13" t="s">
        <v>62</v>
      </c>
      <c r="D30" s="17" t="s">
        <v>73</v>
      </c>
      <c r="E30" s="13">
        <v>5.0</v>
      </c>
      <c r="F30" s="13"/>
      <c r="G30" s="1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6"/>
      <c r="D31" s="24"/>
      <c r="F31" s="13"/>
      <c r="G31" s="1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6"/>
      <c r="B32" s="3" t="s">
        <v>74</v>
      </c>
      <c r="C32" s="13" t="s">
        <v>62</v>
      </c>
      <c r="D32" s="17" t="s">
        <v>75</v>
      </c>
      <c r="E32" s="13">
        <v>1.0</v>
      </c>
      <c r="F32" s="13"/>
      <c r="G32" s="1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6"/>
      <c r="B33" s="3" t="s">
        <v>76</v>
      </c>
      <c r="C33" s="13" t="s">
        <v>62</v>
      </c>
      <c r="D33" s="25" t="s">
        <v>77</v>
      </c>
      <c r="E33" s="13">
        <v>1.0</v>
      </c>
      <c r="F33" s="13"/>
      <c r="G33" s="1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6"/>
      <c r="B34" s="3" t="s">
        <v>78</v>
      </c>
      <c r="C34" s="13" t="s">
        <v>62</v>
      </c>
      <c r="D34" s="17" t="s">
        <v>79</v>
      </c>
      <c r="E34" s="13">
        <v>2.0</v>
      </c>
      <c r="F34" s="13"/>
      <c r="G34" s="1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6"/>
      <c r="B35" s="3" t="s">
        <v>80</v>
      </c>
      <c r="C35" s="13" t="s">
        <v>62</v>
      </c>
      <c r="D35" s="17" t="s">
        <v>81</v>
      </c>
      <c r="E35" s="13">
        <v>2.0</v>
      </c>
      <c r="F35" s="13"/>
      <c r="G35" s="1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6"/>
      <c r="D36" s="17"/>
      <c r="F36" s="13"/>
      <c r="G36" s="1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6"/>
      <c r="B37" s="3" t="s">
        <v>82</v>
      </c>
      <c r="C37" s="13" t="s">
        <v>57</v>
      </c>
      <c r="D37" s="17" t="s">
        <v>83</v>
      </c>
      <c r="E37" s="13">
        <v>4.0</v>
      </c>
      <c r="F37" s="13"/>
      <c r="G37" s="1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6"/>
      <c r="B38" s="26" t="s">
        <v>84</v>
      </c>
      <c r="C38" s="13" t="s">
        <v>62</v>
      </c>
      <c r="D38" s="17" t="s">
        <v>85</v>
      </c>
      <c r="E38" s="13">
        <v>2.0</v>
      </c>
      <c r="F38" s="13"/>
      <c r="G38" s="1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6"/>
      <c r="B39" s="26" t="s">
        <v>86</v>
      </c>
      <c r="C39" s="13" t="s">
        <v>57</v>
      </c>
      <c r="D39" s="17" t="s">
        <v>87</v>
      </c>
      <c r="E39" s="13">
        <v>1.0</v>
      </c>
      <c r="F39" s="13"/>
      <c r="G39" s="1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6"/>
      <c r="B40" s="26" t="s">
        <v>88</v>
      </c>
      <c r="C40" s="13" t="s">
        <v>62</v>
      </c>
      <c r="D40" s="17" t="s">
        <v>89</v>
      </c>
      <c r="E40" s="13">
        <v>1.0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9"/>
      <c r="B41" s="26" t="s">
        <v>90</v>
      </c>
      <c r="C41" s="13" t="s">
        <v>62</v>
      </c>
      <c r="D41" s="17" t="s">
        <v>91</v>
      </c>
      <c r="E41" s="13">
        <v>1.0</v>
      </c>
      <c r="H41" s="26" t="s">
        <v>92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D42" s="17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7"/>
      <c r="B182" s="28"/>
      <c r="C182" s="13"/>
      <c r="D182" s="17"/>
      <c r="E182" s="29"/>
      <c r="F182" s="29"/>
      <c r="G182" s="29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7"/>
      <c r="B183" s="28"/>
      <c r="C183" s="13"/>
      <c r="D183" s="17"/>
      <c r="E183" s="29"/>
      <c r="F183" s="29"/>
      <c r="G183" s="29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7"/>
      <c r="B184" s="3"/>
      <c r="C184" s="13"/>
      <c r="D184" s="17"/>
      <c r="E184" s="29"/>
      <c r="F184" s="29"/>
      <c r="G184" s="29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7"/>
      <c r="B185" s="30"/>
      <c r="C185" s="13"/>
      <c r="D185" s="17"/>
      <c r="E185" s="31"/>
      <c r="F185" s="31"/>
      <c r="G185" s="3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7"/>
      <c r="B186" s="30"/>
      <c r="C186" s="13"/>
      <c r="D186" s="17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7"/>
      <c r="B187" s="30"/>
      <c r="C187" s="13"/>
      <c r="D187" s="17"/>
      <c r="E187" s="13"/>
      <c r="F187" s="13"/>
      <c r="G187" s="1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7"/>
      <c r="B188" s="30"/>
      <c r="C188" s="13"/>
      <c r="D188" s="17"/>
      <c r="E188" s="13"/>
      <c r="F188" s="13"/>
      <c r="G188" s="1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7"/>
      <c r="B189" s="30"/>
      <c r="C189" s="13"/>
      <c r="D189" s="17"/>
      <c r="E189" s="13"/>
      <c r="F189" s="13"/>
      <c r="G189" s="1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7"/>
      <c r="B190" s="30"/>
      <c r="C190" s="13"/>
      <c r="D190" s="17"/>
      <c r="E190" s="13"/>
      <c r="F190" s="13"/>
      <c r="G190" s="1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7"/>
      <c r="B191" s="30"/>
      <c r="C191" s="13"/>
      <c r="D191" s="17"/>
      <c r="E191" s="13"/>
      <c r="F191" s="13"/>
      <c r="G191" s="1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7"/>
      <c r="B192" s="30"/>
      <c r="C192" s="13"/>
      <c r="D192" s="17"/>
      <c r="E192" s="13"/>
      <c r="F192" s="13"/>
      <c r="G192" s="1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7"/>
      <c r="B193" s="3"/>
      <c r="C193" s="13"/>
      <c r="D193" s="17"/>
      <c r="E193" s="13"/>
      <c r="F193" s="13"/>
      <c r="G193" s="1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7"/>
      <c r="B194" s="3"/>
      <c r="C194" s="13"/>
      <c r="D194" s="17"/>
      <c r="E194" s="13"/>
      <c r="F194" s="13"/>
      <c r="G194" s="1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7"/>
      <c r="B195" s="30"/>
      <c r="C195" s="13"/>
      <c r="D195" s="17"/>
      <c r="E195" s="13"/>
      <c r="F195" s="13"/>
      <c r="G195" s="1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7"/>
      <c r="B196" s="30"/>
      <c r="C196" s="3"/>
      <c r="D196" s="17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7"/>
      <c r="B197" s="30"/>
      <c r="C197" s="3"/>
      <c r="D197" s="17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7"/>
      <c r="B198" s="30"/>
      <c r="C198" s="3"/>
      <c r="D198" s="17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2"/>
      <c r="B199" s="33"/>
      <c r="C199" s="20"/>
      <c r="D199" s="34"/>
      <c r="E199" s="20"/>
      <c r="F199" s="20"/>
      <c r="G199" s="20"/>
      <c r="H199" s="20"/>
      <c r="I199" s="20"/>
      <c r="J199" s="20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7"/>
      <c r="C200" s="3"/>
      <c r="D200" s="17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7"/>
      <c r="C201" s="3"/>
      <c r="D201" s="17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7"/>
      <c r="C202" s="3"/>
      <c r="D202" s="17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7"/>
      <c r="C203" s="3"/>
      <c r="D203" s="17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7"/>
      <c r="C204" s="3"/>
      <c r="D204" s="17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7"/>
      <c r="C205" s="3"/>
      <c r="D205" s="17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7"/>
      <c r="C206" s="3"/>
      <c r="D206" s="17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7"/>
      <c r="B207" s="3"/>
      <c r="C207" s="3"/>
      <c r="D207" s="17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7"/>
      <c r="B208" s="3"/>
      <c r="C208" s="3"/>
      <c r="D208" s="17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7"/>
      <c r="C209" s="3"/>
      <c r="D209" s="17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7"/>
      <c r="C210" s="3"/>
      <c r="D210" s="17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7"/>
      <c r="C211" s="13"/>
      <c r="D211" s="17"/>
      <c r="E211" s="13"/>
      <c r="F211" s="13"/>
      <c r="G211" s="1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7"/>
      <c r="C212" s="13"/>
      <c r="D212" s="17"/>
      <c r="E212" s="13"/>
      <c r="F212" s="13"/>
      <c r="G212" s="1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7"/>
      <c r="C213" s="13"/>
      <c r="D213" s="17"/>
      <c r="E213" s="13"/>
      <c r="F213" s="13"/>
      <c r="G213" s="1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7"/>
      <c r="C214" s="13"/>
      <c r="D214" s="17"/>
      <c r="E214" s="13"/>
      <c r="F214" s="13"/>
      <c r="G214" s="1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7"/>
      <c r="C215" s="13"/>
      <c r="D215" s="17"/>
      <c r="E215" s="13"/>
      <c r="F215" s="13"/>
      <c r="G215" s="1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7"/>
      <c r="C216" s="13"/>
      <c r="D216" s="17"/>
      <c r="E216" s="13"/>
      <c r="F216" s="13"/>
      <c r="G216" s="1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7"/>
      <c r="C217" s="13"/>
      <c r="D217" s="17"/>
      <c r="E217" s="13"/>
      <c r="F217" s="13"/>
      <c r="G217" s="1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7"/>
      <c r="C218" s="13"/>
      <c r="D218" s="17"/>
      <c r="E218" s="13"/>
      <c r="F218" s="13"/>
      <c r="G218" s="1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7"/>
      <c r="C219" s="13"/>
      <c r="D219" s="17"/>
      <c r="E219" s="13"/>
      <c r="F219" s="13"/>
      <c r="G219" s="1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7"/>
      <c r="C220" s="13"/>
      <c r="D220" s="17"/>
      <c r="E220" s="13"/>
      <c r="F220" s="13"/>
      <c r="G220" s="1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7"/>
      <c r="C221" s="13"/>
      <c r="D221" s="17"/>
      <c r="E221" s="13"/>
      <c r="F221" s="13"/>
      <c r="G221" s="1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7"/>
      <c r="B222" s="3"/>
      <c r="C222" s="13"/>
      <c r="D222" s="17"/>
      <c r="E222" s="13"/>
      <c r="F222" s="13"/>
      <c r="G222" s="1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7"/>
      <c r="B223" s="3"/>
      <c r="C223" s="13"/>
      <c r="D223" s="17"/>
      <c r="E223" s="13"/>
      <c r="F223" s="13"/>
      <c r="G223" s="1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7"/>
      <c r="B224" s="3"/>
      <c r="C224" s="13"/>
      <c r="D224" s="17"/>
      <c r="E224" s="13"/>
      <c r="F224" s="13"/>
      <c r="G224" s="1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7"/>
      <c r="B225" s="3"/>
      <c r="C225" s="13"/>
      <c r="D225" s="17"/>
      <c r="E225" s="13"/>
      <c r="F225" s="13"/>
      <c r="G225" s="1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7"/>
      <c r="B226" s="3"/>
      <c r="C226" s="13"/>
      <c r="D226" s="17"/>
      <c r="E226" s="13"/>
      <c r="F226" s="13"/>
      <c r="G226" s="1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7"/>
      <c r="B227" s="3"/>
      <c r="C227" s="13"/>
      <c r="D227" s="17"/>
      <c r="E227" s="13"/>
      <c r="F227" s="13"/>
      <c r="G227" s="1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7"/>
      <c r="B228" s="3"/>
      <c r="C228" s="13"/>
      <c r="D228" s="17"/>
      <c r="E228" s="13"/>
      <c r="F228" s="13"/>
      <c r="G228" s="1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7"/>
      <c r="B229" s="3"/>
      <c r="C229" s="13"/>
      <c r="D229" s="17"/>
      <c r="E229" s="13"/>
      <c r="F229" s="13"/>
      <c r="G229" s="1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7"/>
      <c r="B230" s="3"/>
      <c r="C230" s="13"/>
      <c r="D230" s="17"/>
      <c r="E230" s="13"/>
      <c r="F230" s="13"/>
      <c r="G230" s="1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7"/>
      <c r="B231" s="3"/>
      <c r="C231" s="13"/>
      <c r="D231" s="17"/>
      <c r="E231" s="13"/>
      <c r="F231" s="13"/>
      <c r="G231" s="1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7"/>
      <c r="B232" s="3"/>
      <c r="C232" s="13"/>
      <c r="D232" s="17"/>
      <c r="E232" s="13"/>
      <c r="F232" s="13"/>
      <c r="G232" s="1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7"/>
      <c r="B233" s="3"/>
      <c r="C233" s="13"/>
      <c r="D233" s="17"/>
      <c r="E233" s="13"/>
      <c r="F233" s="13"/>
      <c r="G233" s="1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7"/>
      <c r="B234" s="3"/>
      <c r="C234" s="13"/>
      <c r="D234" s="17"/>
      <c r="E234" s="13"/>
      <c r="F234" s="13"/>
      <c r="G234" s="1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7"/>
      <c r="B235" s="3"/>
      <c r="C235" s="13"/>
      <c r="D235" s="17"/>
      <c r="E235" s="13"/>
      <c r="F235" s="13"/>
      <c r="G235" s="1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7"/>
      <c r="B236" s="3"/>
      <c r="C236" s="13"/>
      <c r="D236" s="17"/>
      <c r="E236" s="13"/>
      <c r="F236" s="13"/>
      <c r="G236" s="1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7"/>
      <c r="B237" s="3"/>
      <c r="C237" s="13"/>
      <c r="D237" s="17"/>
      <c r="E237" s="13"/>
      <c r="F237" s="13"/>
      <c r="G237" s="1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7"/>
      <c r="B238" s="3"/>
      <c r="C238" s="13"/>
      <c r="D238" s="17"/>
      <c r="E238" s="13"/>
      <c r="F238" s="13"/>
      <c r="G238" s="1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7"/>
      <c r="B239" s="3"/>
      <c r="C239" s="13"/>
      <c r="D239" s="17"/>
      <c r="E239" s="13"/>
      <c r="F239" s="13"/>
      <c r="G239" s="1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7"/>
      <c r="B240" s="3"/>
      <c r="C240" s="13"/>
      <c r="D240" s="17"/>
      <c r="E240" s="13"/>
      <c r="F240" s="13"/>
      <c r="G240" s="1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7"/>
      <c r="B241" s="3"/>
      <c r="C241" s="13"/>
      <c r="D241" s="17"/>
      <c r="E241" s="13"/>
      <c r="F241" s="13"/>
      <c r="G241" s="1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6:G6"/>
    <mergeCell ref="A7:A22"/>
    <mergeCell ref="A23:A41"/>
  </mergeCells>
  <hyperlinks>
    <hyperlink r:id="rId1" ref="D7"/>
    <hyperlink r:id="rId2" ref="D8"/>
    <hyperlink r:id="rId3" ref="D9"/>
    <hyperlink r:id="rId4" ref="D10"/>
    <hyperlink r:id="rId5" ref="D11"/>
    <hyperlink r:id="rId6" ref="D12"/>
    <hyperlink r:id="rId7" ref="D13"/>
    <hyperlink r:id="rId8" ref="D14"/>
    <hyperlink r:id="rId9" ref="D15"/>
    <hyperlink r:id="rId10" ref="D16"/>
    <hyperlink r:id="rId11" ref="D17"/>
    <hyperlink r:id="rId12" ref="D18"/>
    <hyperlink r:id="rId13" ref="D19"/>
    <hyperlink r:id="rId14" ref="D21"/>
    <hyperlink r:id="rId15" ref="D22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3.38"/>
    <col customWidth="1" min="3" max="4" width="22.88"/>
    <col customWidth="1" min="5" max="5" width="9.63"/>
    <col customWidth="1" min="6" max="6" width="15.25"/>
    <col customWidth="1" min="8" max="8" width="19.0"/>
  </cols>
  <sheetData>
    <row r="1" ht="15.75" customHeight="1">
      <c r="A1" s="1" t="s">
        <v>0</v>
      </c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/>
      <c r="B3" s="5" t="s">
        <v>93</v>
      </c>
      <c r="C3" s="6">
        <f>sum(G7:G45)</f>
        <v>1918.08</v>
      </c>
      <c r="D3" s="7" t="s">
        <v>94</v>
      </c>
      <c r="E3" s="8">
        <f>'Continuum Robotic Components'!E2</f>
        <v>651.47</v>
      </c>
      <c r="F3" s="4"/>
      <c r="G3" s="4"/>
      <c r="H3" s="4"/>
      <c r="I3" s="4"/>
      <c r="J3" s="4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/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/>
      <c r="J5" s="4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5" t="s">
        <v>95</v>
      </c>
      <c r="B6" s="10"/>
      <c r="C6" s="10"/>
      <c r="D6" s="10"/>
      <c r="E6" s="10"/>
      <c r="F6" s="10"/>
      <c r="G6" s="11"/>
      <c r="H6" s="2" t="s">
        <v>96</v>
      </c>
      <c r="I6" s="4"/>
      <c r="J6" s="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6" t="s">
        <v>12</v>
      </c>
      <c r="B7" s="3" t="s">
        <v>13</v>
      </c>
      <c r="C7" s="13" t="s">
        <v>14</v>
      </c>
      <c r="D7" s="14" t="s">
        <v>15</v>
      </c>
      <c r="E7" s="13">
        <v>3.0</v>
      </c>
      <c r="F7" s="15">
        <v>113.3</v>
      </c>
      <c r="G7" s="15">
        <f t="shared" ref="G7:G26" si="1">E7*F7</f>
        <v>339.9</v>
      </c>
      <c r="H7" s="3"/>
      <c r="I7" s="4"/>
      <c r="J7" s="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6"/>
      <c r="B8" s="3" t="s">
        <v>16</v>
      </c>
      <c r="C8" s="13" t="s">
        <v>17</v>
      </c>
      <c r="D8" s="14">
        <v>283828.0</v>
      </c>
      <c r="E8" s="13">
        <v>4.0</v>
      </c>
      <c r="F8" s="15">
        <v>190.88</v>
      </c>
      <c r="G8" s="15">
        <f t="shared" si="1"/>
        <v>763.52</v>
      </c>
      <c r="H8" s="3" t="s">
        <v>18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6"/>
      <c r="B9" s="3" t="s">
        <v>19</v>
      </c>
      <c r="C9" s="13" t="s">
        <v>17</v>
      </c>
      <c r="D9" s="14">
        <v>110322.0</v>
      </c>
      <c r="E9" s="13">
        <v>4.0</v>
      </c>
      <c r="F9" s="15">
        <v>63.13</v>
      </c>
      <c r="G9" s="15">
        <f t="shared" si="1"/>
        <v>252.52</v>
      </c>
      <c r="H9" s="3" t="s">
        <v>20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6"/>
      <c r="B10" s="3" t="s">
        <v>21</v>
      </c>
      <c r="C10" s="13" t="s">
        <v>22</v>
      </c>
      <c r="D10" s="14" t="s">
        <v>23</v>
      </c>
      <c r="E10" s="13">
        <v>6.0</v>
      </c>
      <c r="F10" s="15">
        <v>6.67</v>
      </c>
      <c r="G10" s="15">
        <f t="shared" si="1"/>
        <v>40.02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6"/>
      <c r="B11" s="3" t="s">
        <v>24</v>
      </c>
      <c r="C11" s="13" t="s">
        <v>22</v>
      </c>
      <c r="D11" s="14" t="s">
        <v>25</v>
      </c>
      <c r="E11" s="13">
        <v>3.0</v>
      </c>
      <c r="F11" s="15">
        <v>15.63</v>
      </c>
      <c r="G11" s="15">
        <f t="shared" si="1"/>
        <v>46.89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6"/>
      <c r="B12" s="3" t="s">
        <v>26</v>
      </c>
      <c r="C12" s="13" t="s">
        <v>22</v>
      </c>
      <c r="D12" s="14" t="s">
        <v>27</v>
      </c>
      <c r="E12" s="13">
        <v>1.0</v>
      </c>
      <c r="F12" s="15">
        <v>17.4</v>
      </c>
      <c r="G12" s="15">
        <f t="shared" si="1"/>
        <v>17.4</v>
      </c>
      <c r="H12" s="3" t="s">
        <v>28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6"/>
      <c r="B13" s="3" t="s">
        <v>29</v>
      </c>
      <c r="C13" s="13" t="s">
        <v>22</v>
      </c>
      <c r="D13" s="14" t="s">
        <v>30</v>
      </c>
      <c r="E13" s="13">
        <v>1.0</v>
      </c>
      <c r="F13" s="15">
        <v>3.04</v>
      </c>
      <c r="G13" s="15">
        <f t="shared" si="1"/>
        <v>3.04</v>
      </c>
      <c r="H13" s="3" t="s">
        <v>31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6"/>
      <c r="B14" s="3" t="s">
        <v>32</v>
      </c>
      <c r="C14" s="13" t="s">
        <v>22</v>
      </c>
      <c r="D14" s="14" t="s">
        <v>33</v>
      </c>
      <c r="E14" s="13">
        <v>4.0</v>
      </c>
      <c r="F14" s="15">
        <v>19.62</v>
      </c>
      <c r="G14" s="15">
        <f t="shared" si="1"/>
        <v>78.48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6"/>
      <c r="B15" s="3" t="s">
        <v>34</v>
      </c>
      <c r="C15" s="13" t="s">
        <v>22</v>
      </c>
      <c r="D15" s="14" t="s">
        <v>35</v>
      </c>
      <c r="E15" s="13">
        <v>4.0</v>
      </c>
      <c r="F15" s="15">
        <v>19.62</v>
      </c>
      <c r="G15" s="15">
        <f t="shared" si="1"/>
        <v>78.48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6"/>
      <c r="B16" s="3" t="s">
        <v>36</v>
      </c>
      <c r="C16" s="13" t="s">
        <v>22</v>
      </c>
      <c r="D16" s="14" t="s">
        <v>37</v>
      </c>
      <c r="E16" s="13">
        <v>3.0</v>
      </c>
      <c r="F16" s="15">
        <v>10.0</v>
      </c>
      <c r="G16" s="15">
        <f t="shared" si="1"/>
        <v>30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6"/>
      <c r="B17" s="3" t="s">
        <v>38</v>
      </c>
      <c r="C17" s="13" t="s">
        <v>39</v>
      </c>
      <c r="D17" s="14" t="s">
        <v>40</v>
      </c>
      <c r="E17" s="13">
        <v>6.0</v>
      </c>
      <c r="F17" s="15">
        <v>16.58</v>
      </c>
      <c r="G17" s="15">
        <f t="shared" si="1"/>
        <v>99.48</v>
      </c>
      <c r="H17" s="3" t="s">
        <v>41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6"/>
      <c r="B18" s="3" t="s">
        <v>42</v>
      </c>
      <c r="C18" s="13" t="s">
        <v>22</v>
      </c>
      <c r="D18" s="14" t="s">
        <v>43</v>
      </c>
      <c r="E18" s="13">
        <v>1.0</v>
      </c>
      <c r="F18" s="15">
        <v>10.86</v>
      </c>
      <c r="G18" s="15">
        <f t="shared" si="1"/>
        <v>10.86</v>
      </c>
      <c r="H18" s="3" t="s">
        <v>44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6"/>
      <c r="B19" s="3" t="s">
        <v>45</v>
      </c>
      <c r="C19" s="13" t="s">
        <v>46</v>
      </c>
      <c r="D19" s="14" t="s">
        <v>47</v>
      </c>
      <c r="E19" s="13">
        <v>1.0</v>
      </c>
      <c r="F19" s="15">
        <v>5.29</v>
      </c>
      <c r="G19" s="15">
        <f t="shared" si="1"/>
        <v>5.29</v>
      </c>
      <c r="H19" s="3" t="s">
        <v>48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6"/>
      <c r="B20" s="3"/>
      <c r="C20" s="13"/>
      <c r="D20" s="17"/>
      <c r="E20" s="13"/>
      <c r="F20" s="13"/>
      <c r="G20" s="13">
        <f t="shared" si="1"/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6"/>
      <c r="B21" s="18" t="s">
        <v>49</v>
      </c>
      <c r="C21" s="13" t="s">
        <v>22</v>
      </c>
      <c r="D21" s="14" t="s">
        <v>50</v>
      </c>
      <c r="E21" s="13">
        <v>2.0</v>
      </c>
      <c r="F21" s="15">
        <v>12.98</v>
      </c>
      <c r="G21" s="15">
        <f t="shared" si="1"/>
        <v>25.96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6"/>
      <c r="B22" s="3" t="s">
        <v>52</v>
      </c>
      <c r="C22" s="13" t="s">
        <v>14</v>
      </c>
      <c r="D22" s="14" t="s">
        <v>53</v>
      </c>
      <c r="E22" s="13">
        <v>1.0</v>
      </c>
      <c r="F22" s="15">
        <v>87.9</v>
      </c>
      <c r="G22" s="15">
        <f t="shared" si="1"/>
        <v>87.9</v>
      </c>
      <c r="H22" s="3" t="s">
        <v>54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6"/>
      <c r="B23" s="3"/>
      <c r="C23" s="13"/>
      <c r="D23" s="17"/>
      <c r="E23" s="13"/>
      <c r="F23" s="13"/>
      <c r="G23" s="13">
        <f t="shared" si="1"/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6"/>
      <c r="B24" s="3" t="s">
        <v>97</v>
      </c>
      <c r="C24" s="13" t="s">
        <v>22</v>
      </c>
      <c r="D24" s="14" t="s">
        <v>98</v>
      </c>
      <c r="E24" s="13">
        <v>1.0</v>
      </c>
      <c r="F24" s="15">
        <v>23.34</v>
      </c>
      <c r="G24" s="15">
        <f t="shared" si="1"/>
        <v>23.34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6"/>
      <c r="B25" s="26" t="s">
        <v>99</v>
      </c>
      <c r="C25" s="13" t="s">
        <v>22</v>
      </c>
      <c r="D25" s="14" t="s">
        <v>100</v>
      </c>
      <c r="E25" s="13">
        <v>1.0</v>
      </c>
      <c r="F25" s="15">
        <v>3.51</v>
      </c>
      <c r="G25" s="15">
        <f t="shared" si="1"/>
        <v>3.51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9"/>
      <c r="B26" s="20" t="s">
        <v>101</v>
      </c>
      <c r="C26" s="34" t="s">
        <v>102</v>
      </c>
      <c r="D26" s="22" t="s">
        <v>103</v>
      </c>
      <c r="E26" s="21">
        <v>1.0</v>
      </c>
      <c r="F26" s="23">
        <v>11.49</v>
      </c>
      <c r="G26" s="23">
        <f t="shared" si="1"/>
        <v>11.49</v>
      </c>
      <c r="H26" s="20" t="s">
        <v>104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12" t="s">
        <v>55</v>
      </c>
      <c r="B27" s="3" t="s">
        <v>56</v>
      </c>
      <c r="C27" s="13" t="s">
        <v>57</v>
      </c>
      <c r="D27" s="17" t="s">
        <v>58</v>
      </c>
      <c r="E27" s="13">
        <v>3.0</v>
      </c>
      <c r="F27" s="13"/>
      <c r="G27" s="1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6"/>
      <c r="B28" s="3" t="s">
        <v>59</v>
      </c>
      <c r="C28" s="13" t="s">
        <v>57</v>
      </c>
      <c r="D28" s="17" t="s">
        <v>60</v>
      </c>
      <c r="E28" s="13">
        <v>3.0</v>
      </c>
      <c r="F28" s="13"/>
      <c r="G28" s="1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6"/>
      <c r="B29" s="3" t="s">
        <v>61</v>
      </c>
      <c r="C29" s="13" t="s">
        <v>62</v>
      </c>
      <c r="D29" s="17" t="s">
        <v>63</v>
      </c>
      <c r="E29" s="13">
        <v>3.0</v>
      </c>
      <c r="F29" s="13"/>
      <c r="G29" s="1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6"/>
      <c r="B30" s="3" t="s">
        <v>105</v>
      </c>
      <c r="C30" s="13" t="s">
        <v>62</v>
      </c>
      <c r="D30" s="13" t="s">
        <v>65</v>
      </c>
      <c r="E30" s="13">
        <v>4.0</v>
      </c>
      <c r="F30" s="13"/>
      <c r="G30" s="1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6"/>
      <c r="B31" s="3" t="s">
        <v>106</v>
      </c>
      <c r="C31" s="13" t="s">
        <v>62</v>
      </c>
      <c r="D31" s="17" t="s">
        <v>67</v>
      </c>
      <c r="E31" s="13">
        <v>3.0</v>
      </c>
      <c r="F31" s="13"/>
      <c r="G31" s="1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6"/>
      <c r="B32" s="3" t="s">
        <v>68</v>
      </c>
      <c r="C32" s="13" t="s">
        <v>62</v>
      </c>
      <c r="D32" s="17" t="s">
        <v>69</v>
      </c>
      <c r="E32" s="13">
        <v>3.0</v>
      </c>
      <c r="F32" s="13"/>
      <c r="G32" s="1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6"/>
      <c r="B33" s="3" t="s">
        <v>107</v>
      </c>
      <c r="C33" s="13" t="s">
        <v>57</v>
      </c>
      <c r="D33" s="17" t="s">
        <v>108</v>
      </c>
      <c r="E33" s="13">
        <v>1.0</v>
      </c>
      <c r="F33" s="13"/>
      <c r="G33" s="1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6"/>
      <c r="B34" s="3" t="s">
        <v>109</v>
      </c>
      <c r="C34" s="13" t="s">
        <v>57</v>
      </c>
      <c r="D34" s="17" t="s">
        <v>110</v>
      </c>
      <c r="E34" s="13">
        <v>1.0</v>
      </c>
      <c r="F34" s="13"/>
      <c r="G34" s="1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6"/>
      <c r="B35" s="3" t="s">
        <v>111</v>
      </c>
      <c r="C35" s="13" t="s">
        <v>57</v>
      </c>
      <c r="D35" s="17" t="s">
        <v>110</v>
      </c>
      <c r="E35" s="13">
        <v>1.0</v>
      </c>
      <c r="F35" s="13"/>
      <c r="G35" s="1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6"/>
      <c r="B36" s="3" t="s">
        <v>72</v>
      </c>
      <c r="C36" s="13" t="s">
        <v>62</v>
      </c>
      <c r="D36" s="17" t="s">
        <v>73</v>
      </c>
      <c r="E36" s="13">
        <v>5.0</v>
      </c>
      <c r="F36" s="13"/>
      <c r="G36" s="1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6"/>
      <c r="B37" s="3"/>
      <c r="C37" s="13"/>
      <c r="D37" s="17"/>
      <c r="E37" s="13"/>
      <c r="F37" s="13"/>
      <c r="G37" s="1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6"/>
      <c r="B38" s="3" t="s">
        <v>74</v>
      </c>
      <c r="C38" s="13" t="s">
        <v>62</v>
      </c>
      <c r="D38" s="17" t="s">
        <v>75</v>
      </c>
      <c r="E38" s="13">
        <v>1.0</v>
      </c>
      <c r="F38" s="13"/>
      <c r="G38" s="1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6"/>
      <c r="B39" s="3" t="s">
        <v>76</v>
      </c>
      <c r="C39" s="13" t="s">
        <v>62</v>
      </c>
      <c r="D39" s="25" t="s">
        <v>77</v>
      </c>
      <c r="E39" s="13">
        <v>1.0</v>
      </c>
      <c r="F39" s="13"/>
      <c r="G39" s="1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6"/>
      <c r="B40" s="3" t="s">
        <v>78</v>
      </c>
      <c r="C40" s="13" t="s">
        <v>62</v>
      </c>
      <c r="D40" s="17" t="s">
        <v>79</v>
      </c>
      <c r="E40" s="13">
        <v>2.0</v>
      </c>
      <c r="F40" s="13"/>
      <c r="G40" s="1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6"/>
      <c r="B41" s="3" t="s">
        <v>80</v>
      </c>
      <c r="C41" s="13" t="s">
        <v>62</v>
      </c>
      <c r="D41" s="17" t="s">
        <v>81</v>
      </c>
      <c r="E41" s="13">
        <v>2.0</v>
      </c>
      <c r="F41" s="13"/>
      <c r="G41" s="1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6"/>
      <c r="B42" s="3"/>
      <c r="C42" s="13"/>
      <c r="D42" s="17"/>
      <c r="E42" s="13"/>
      <c r="F42" s="13"/>
      <c r="G42" s="1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6"/>
      <c r="B43" s="26" t="s">
        <v>112</v>
      </c>
      <c r="C43" s="13" t="s">
        <v>62</v>
      </c>
      <c r="D43" s="37" t="s">
        <v>113</v>
      </c>
      <c r="E43" s="13"/>
      <c r="F43" s="13"/>
      <c r="G43" s="1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6"/>
      <c r="B44" s="3" t="s">
        <v>114</v>
      </c>
      <c r="C44" s="13" t="s">
        <v>62</v>
      </c>
      <c r="D44" s="17" t="s">
        <v>115</v>
      </c>
      <c r="E44" s="13">
        <v>1.0</v>
      </c>
      <c r="F44" s="13"/>
      <c r="G44" s="1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6"/>
      <c r="B45" s="3" t="s">
        <v>116</v>
      </c>
      <c r="C45" s="13" t="s">
        <v>62</v>
      </c>
      <c r="D45" s="17" t="s">
        <v>117</v>
      </c>
      <c r="E45" s="13">
        <v>1.0</v>
      </c>
      <c r="F45" s="13"/>
      <c r="G45" s="1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6"/>
      <c r="B46" s="3" t="s">
        <v>118</v>
      </c>
      <c r="C46" s="13" t="s">
        <v>62</v>
      </c>
      <c r="D46" s="17" t="s">
        <v>119</v>
      </c>
      <c r="E46" s="13"/>
      <c r="F46" s="13"/>
      <c r="G46" s="1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9"/>
      <c r="B47" s="3"/>
      <c r="C47" s="13"/>
      <c r="D47" s="17"/>
      <c r="E47" s="13"/>
      <c r="F47" s="13"/>
      <c r="G47" s="1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7"/>
      <c r="B152" s="30"/>
      <c r="C152" s="13"/>
      <c r="D152" s="17"/>
      <c r="E152" s="13"/>
      <c r="F152" s="13"/>
      <c r="G152" s="1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7"/>
      <c r="B153" s="30"/>
      <c r="C153" s="13"/>
      <c r="D153" s="17"/>
      <c r="E153" s="13"/>
      <c r="F153" s="13"/>
      <c r="G153" s="1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7"/>
      <c r="B154" s="30"/>
      <c r="C154" s="13"/>
      <c r="D154" s="17"/>
      <c r="E154" s="13"/>
      <c r="F154" s="13"/>
      <c r="G154" s="1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7"/>
      <c r="B155" s="30"/>
      <c r="C155" s="13"/>
      <c r="D155" s="17"/>
      <c r="E155" s="13"/>
      <c r="F155" s="13"/>
      <c r="G155" s="1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7"/>
      <c r="B156" s="3"/>
      <c r="C156" s="13"/>
      <c r="D156" s="17"/>
      <c r="E156" s="13"/>
      <c r="F156" s="13"/>
      <c r="G156" s="1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7"/>
      <c r="B157" s="3"/>
      <c r="C157" s="13"/>
      <c r="D157" s="17"/>
      <c r="E157" s="13"/>
      <c r="F157" s="13"/>
      <c r="G157" s="1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7"/>
      <c r="B158" s="30"/>
      <c r="C158" s="13"/>
      <c r="D158" s="17"/>
      <c r="E158" s="13"/>
      <c r="F158" s="13"/>
      <c r="G158" s="1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7"/>
      <c r="B159" s="30"/>
      <c r="C159" s="3"/>
      <c r="D159" s="17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7"/>
      <c r="B160" s="30"/>
      <c r="C160" s="3"/>
      <c r="D160" s="17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7"/>
      <c r="B161" s="30"/>
      <c r="C161" s="3"/>
      <c r="D161" s="17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2"/>
      <c r="B162" s="33"/>
      <c r="C162" s="20"/>
      <c r="D162" s="34"/>
      <c r="E162" s="20"/>
      <c r="F162" s="20"/>
      <c r="G162" s="20"/>
      <c r="H162" s="20"/>
      <c r="I162" s="20"/>
      <c r="J162" s="20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7"/>
      <c r="C163" s="3"/>
      <c r="D163" s="17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7"/>
      <c r="C164" s="3"/>
      <c r="D164" s="17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7"/>
      <c r="C165" s="3"/>
      <c r="D165" s="17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7"/>
      <c r="C166" s="3"/>
      <c r="D166" s="17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7"/>
      <c r="C167" s="3"/>
      <c r="D167" s="17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7"/>
      <c r="C168" s="3"/>
      <c r="D168" s="17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7"/>
      <c r="C169" s="3"/>
      <c r="D169" s="17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7"/>
      <c r="B170" s="3"/>
      <c r="C170" s="3"/>
      <c r="D170" s="17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7"/>
      <c r="B171" s="3"/>
      <c r="C171" s="3"/>
      <c r="D171" s="17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7"/>
      <c r="C172" s="3"/>
      <c r="D172" s="17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7"/>
      <c r="C173" s="3"/>
      <c r="D173" s="17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7"/>
      <c r="C174" s="13"/>
      <c r="D174" s="17"/>
      <c r="E174" s="13"/>
      <c r="F174" s="13"/>
      <c r="G174" s="1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7"/>
      <c r="C175" s="13"/>
      <c r="D175" s="17"/>
      <c r="E175" s="13"/>
      <c r="F175" s="13"/>
      <c r="G175" s="1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7"/>
      <c r="C176" s="13"/>
      <c r="D176" s="17"/>
      <c r="E176" s="13"/>
      <c r="F176" s="13"/>
      <c r="G176" s="1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7"/>
      <c r="C177" s="13"/>
      <c r="D177" s="17"/>
      <c r="E177" s="13"/>
      <c r="F177" s="13"/>
      <c r="G177" s="1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7"/>
      <c r="C178" s="13"/>
      <c r="D178" s="17"/>
      <c r="E178" s="13"/>
      <c r="F178" s="13"/>
      <c r="G178" s="1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7"/>
      <c r="C179" s="13"/>
      <c r="D179" s="17"/>
      <c r="E179" s="13"/>
      <c r="F179" s="13"/>
      <c r="G179" s="1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7"/>
      <c r="C180" s="13"/>
      <c r="D180" s="17"/>
      <c r="E180" s="13"/>
      <c r="F180" s="13"/>
      <c r="G180" s="1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7"/>
      <c r="C181" s="13"/>
      <c r="D181" s="17"/>
      <c r="E181" s="13"/>
      <c r="F181" s="13"/>
      <c r="G181" s="1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7"/>
      <c r="C182" s="13"/>
      <c r="D182" s="17"/>
      <c r="E182" s="13"/>
      <c r="F182" s="13"/>
      <c r="G182" s="1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7"/>
      <c r="C183" s="13"/>
      <c r="D183" s="17"/>
      <c r="E183" s="13"/>
      <c r="F183" s="13"/>
      <c r="G183" s="1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7"/>
      <c r="C184" s="13"/>
      <c r="D184" s="17"/>
      <c r="E184" s="13"/>
      <c r="F184" s="13"/>
      <c r="G184" s="1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7"/>
      <c r="B185" s="3"/>
      <c r="C185" s="13"/>
      <c r="D185" s="17"/>
      <c r="E185" s="13"/>
      <c r="F185" s="13"/>
      <c r="G185" s="1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7"/>
      <c r="B186" s="3"/>
      <c r="C186" s="13"/>
      <c r="D186" s="17"/>
      <c r="E186" s="13"/>
      <c r="F186" s="13"/>
      <c r="G186" s="1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7"/>
      <c r="B187" s="3"/>
      <c r="C187" s="13"/>
      <c r="D187" s="17"/>
      <c r="E187" s="13"/>
      <c r="F187" s="13"/>
      <c r="G187" s="1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7"/>
      <c r="B188" s="3"/>
      <c r="C188" s="13"/>
      <c r="D188" s="17"/>
      <c r="E188" s="13"/>
      <c r="F188" s="13"/>
      <c r="G188" s="1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7"/>
      <c r="B189" s="3"/>
      <c r="C189" s="13"/>
      <c r="D189" s="17"/>
      <c r="E189" s="13"/>
      <c r="F189" s="13"/>
      <c r="G189" s="1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7"/>
      <c r="B190" s="3"/>
      <c r="C190" s="13"/>
      <c r="D190" s="17"/>
      <c r="E190" s="13"/>
      <c r="F190" s="13"/>
      <c r="G190" s="1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7"/>
      <c r="B191" s="3"/>
      <c r="C191" s="13"/>
      <c r="D191" s="17"/>
      <c r="E191" s="13"/>
      <c r="F191" s="13"/>
      <c r="G191" s="1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7"/>
      <c r="B192" s="3"/>
      <c r="C192" s="13"/>
      <c r="D192" s="17"/>
      <c r="E192" s="13"/>
      <c r="F192" s="13"/>
      <c r="G192" s="1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7"/>
      <c r="B193" s="3"/>
      <c r="C193" s="13"/>
      <c r="D193" s="17"/>
      <c r="E193" s="13"/>
      <c r="F193" s="13"/>
      <c r="G193" s="1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7"/>
      <c r="B194" s="3"/>
      <c r="C194" s="13"/>
      <c r="D194" s="17"/>
      <c r="E194" s="13"/>
      <c r="F194" s="13"/>
      <c r="G194" s="1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7"/>
      <c r="B195" s="3"/>
      <c r="C195" s="13"/>
      <c r="D195" s="17"/>
      <c r="E195" s="13"/>
      <c r="F195" s="13"/>
      <c r="G195" s="1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7"/>
      <c r="B196" s="3"/>
      <c r="C196" s="13"/>
      <c r="D196" s="17"/>
      <c r="E196" s="13"/>
      <c r="F196" s="13"/>
      <c r="G196" s="1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7"/>
      <c r="B197" s="3"/>
      <c r="C197" s="13"/>
      <c r="D197" s="17"/>
      <c r="E197" s="13"/>
      <c r="F197" s="13"/>
      <c r="G197" s="1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7"/>
      <c r="B198" s="3"/>
      <c r="C198" s="13"/>
      <c r="D198" s="17"/>
      <c r="E198" s="13"/>
      <c r="F198" s="13"/>
      <c r="G198" s="1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7"/>
      <c r="B199" s="3"/>
      <c r="C199" s="13"/>
      <c r="D199" s="17"/>
      <c r="E199" s="13"/>
      <c r="F199" s="13"/>
      <c r="G199" s="1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7"/>
      <c r="B200" s="3"/>
      <c r="C200" s="13"/>
      <c r="D200" s="17"/>
      <c r="E200" s="13"/>
      <c r="F200" s="13"/>
      <c r="G200" s="1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7"/>
      <c r="B201" s="3"/>
      <c r="C201" s="13"/>
      <c r="D201" s="17"/>
      <c r="E201" s="13"/>
      <c r="F201" s="13"/>
      <c r="G201" s="1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7"/>
      <c r="B202" s="3"/>
      <c r="C202" s="13"/>
      <c r="D202" s="17"/>
      <c r="E202" s="13"/>
      <c r="F202" s="13"/>
      <c r="G202" s="1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7"/>
      <c r="B203" s="3"/>
      <c r="C203" s="13"/>
      <c r="D203" s="17"/>
      <c r="E203" s="13"/>
      <c r="F203" s="13"/>
      <c r="G203" s="1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7"/>
      <c r="B204" s="3"/>
      <c r="C204" s="13"/>
      <c r="D204" s="17"/>
      <c r="E204" s="13"/>
      <c r="F204" s="13"/>
      <c r="G204" s="1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7"/>
      <c r="B205" s="3"/>
      <c r="C205" s="13"/>
      <c r="D205" s="17"/>
      <c r="E205" s="13"/>
      <c r="F205" s="13"/>
      <c r="G205" s="1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7"/>
      <c r="B206" s="3"/>
      <c r="C206" s="13"/>
      <c r="D206" s="17"/>
      <c r="E206" s="13"/>
      <c r="F206" s="13"/>
      <c r="G206" s="1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7"/>
      <c r="B207" s="3"/>
      <c r="C207" s="13"/>
      <c r="D207" s="17"/>
      <c r="E207" s="13"/>
      <c r="F207" s="13"/>
      <c r="G207" s="1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7"/>
      <c r="B208" s="3"/>
      <c r="C208" s="13"/>
      <c r="D208" s="17"/>
      <c r="E208" s="13"/>
      <c r="F208" s="13"/>
      <c r="G208" s="1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7"/>
      <c r="B209" s="3"/>
      <c r="C209" s="13"/>
      <c r="D209" s="17"/>
      <c r="E209" s="13"/>
      <c r="F209" s="13"/>
      <c r="G209" s="1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7"/>
      <c r="B210" s="3"/>
      <c r="C210" s="13"/>
      <c r="D210" s="17"/>
      <c r="E210" s="13"/>
      <c r="F210" s="13"/>
      <c r="G210" s="1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7"/>
      <c r="B211" s="3"/>
      <c r="C211" s="13"/>
      <c r="D211" s="17"/>
      <c r="E211" s="13"/>
      <c r="F211" s="13"/>
      <c r="G211" s="1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7"/>
      <c r="B212" s="3"/>
      <c r="C212" s="13"/>
      <c r="D212" s="17"/>
      <c r="E212" s="13"/>
      <c r="F212" s="13"/>
      <c r="G212" s="1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7"/>
      <c r="B213" s="3"/>
      <c r="C213" s="13"/>
      <c r="D213" s="17"/>
      <c r="E213" s="13"/>
      <c r="F213" s="13"/>
      <c r="G213" s="1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7"/>
      <c r="B214" s="3"/>
      <c r="C214" s="13"/>
      <c r="D214" s="17"/>
      <c r="E214" s="13"/>
      <c r="F214" s="13"/>
      <c r="G214" s="1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7"/>
      <c r="B215" s="3"/>
      <c r="C215" s="13"/>
      <c r="D215" s="17"/>
      <c r="E215" s="13"/>
      <c r="F215" s="13"/>
      <c r="G215" s="1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7"/>
      <c r="B216" s="3"/>
      <c r="C216" s="13"/>
      <c r="D216" s="17"/>
      <c r="E216" s="13"/>
      <c r="F216" s="13"/>
      <c r="G216" s="1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7"/>
      <c r="B217" s="3"/>
      <c r="C217" s="13"/>
      <c r="D217" s="17"/>
      <c r="E217" s="13"/>
      <c r="F217" s="13"/>
      <c r="G217" s="1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7"/>
      <c r="B218" s="3"/>
      <c r="C218" s="13"/>
      <c r="D218" s="17"/>
      <c r="E218" s="13"/>
      <c r="F218" s="13"/>
      <c r="G218" s="1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7"/>
      <c r="B219" s="3"/>
      <c r="C219" s="13"/>
      <c r="D219" s="17"/>
      <c r="E219" s="13"/>
      <c r="F219" s="13"/>
      <c r="G219" s="1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7"/>
      <c r="B220" s="3"/>
      <c r="C220" s="13"/>
      <c r="D220" s="17"/>
      <c r="E220" s="13"/>
      <c r="F220" s="13"/>
      <c r="G220" s="1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7"/>
      <c r="B221" s="3"/>
      <c r="C221" s="13"/>
      <c r="D221" s="17"/>
      <c r="E221" s="13"/>
      <c r="F221" s="13"/>
      <c r="G221" s="1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7"/>
      <c r="B222" s="3"/>
      <c r="C222" s="13"/>
      <c r="D222" s="17"/>
      <c r="E222" s="13"/>
      <c r="F222" s="13"/>
      <c r="G222" s="1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7"/>
      <c r="B223" s="3"/>
      <c r="C223" s="13"/>
      <c r="D223" s="17"/>
      <c r="E223" s="13"/>
      <c r="F223" s="13"/>
      <c r="G223" s="1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7"/>
      <c r="B224" s="3"/>
      <c r="C224" s="13"/>
      <c r="D224" s="17"/>
      <c r="E224" s="13"/>
      <c r="F224" s="13"/>
      <c r="G224" s="1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7"/>
      <c r="B225" s="3"/>
      <c r="C225" s="13"/>
      <c r="D225" s="17"/>
      <c r="E225" s="13"/>
      <c r="F225" s="13"/>
      <c r="G225" s="1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7"/>
      <c r="B226" s="3"/>
      <c r="C226" s="13"/>
      <c r="D226" s="17"/>
      <c r="E226" s="13"/>
      <c r="F226" s="13"/>
      <c r="G226" s="1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7"/>
      <c r="B227" s="3"/>
      <c r="C227" s="13"/>
      <c r="D227" s="17"/>
      <c r="E227" s="13"/>
      <c r="F227" s="13"/>
      <c r="G227" s="1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7"/>
      <c r="B228" s="3"/>
      <c r="C228" s="13"/>
      <c r="D228" s="17"/>
      <c r="E228" s="13"/>
      <c r="F228" s="13"/>
      <c r="G228" s="1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7"/>
      <c r="B229" s="3"/>
      <c r="C229" s="13"/>
      <c r="D229" s="17"/>
      <c r="E229" s="13"/>
      <c r="F229" s="13"/>
      <c r="G229" s="1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7"/>
      <c r="B230" s="3"/>
      <c r="C230" s="13"/>
      <c r="D230" s="17"/>
      <c r="E230" s="13"/>
      <c r="F230" s="13"/>
      <c r="G230" s="1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7"/>
      <c r="B231" s="3"/>
      <c r="C231" s="13"/>
      <c r="D231" s="17"/>
      <c r="E231" s="13"/>
      <c r="F231" s="13"/>
      <c r="G231" s="1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7"/>
      <c r="B232" s="3"/>
      <c r="C232" s="13"/>
      <c r="D232" s="17"/>
      <c r="E232" s="13"/>
      <c r="F232" s="13"/>
      <c r="G232" s="1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7"/>
      <c r="B233" s="3"/>
      <c r="C233" s="13"/>
      <c r="D233" s="17"/>
      <c r="E233" s="13"/>
      <c r="F233" s="13"/>
      <c r="G233" s="1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7"/>
      <c r="B234" s="3"/>
      <c r="C234" s="13"/>
      <c r="D234" s="17"/>
      <c r="E234" s="13"/>
      <c r="F234" s="13"/>
      <c r="G234" s="1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7"/>
      <c r="B235" s="3"/>
      <c r="C235" s="13"/>
      <c r="D235" s="17"/>
      <c r="E235" s="13"/>
      <c r="F235" s="13"/>
      <c r="G235" s="1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7"/>
      <c r="B236" s="3"/>
      <c r="C236" s="13"/>
      <c r="D236" s="17"/>
      <c r="E236" s="13"/>
      <c r="F236" s="13"/>
      <c r="G236" s="1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7"/>
      <c r="B237" s="3"/>
      <c r="C237" s="13"/>
      <c r="D237" s="17"/>
      <c r="E237" s="13"/>
      <c r="F237" s="13"/>
      <c r="G237" s="1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7"/>
      <c r="B238" s="3"/>
      <c r="C238" s="13"/>
      <c r="D238" s="17"/>
      <c r="E238" s="13"/>
      <c r="F238" s="13"/>
      <c r="G238" s="1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7"/>
      <c r="B239" s="3"/>
      <c r="C239" s="13"/>
      <c r="D239" s="17"/>
      <c r="E239" s="13"/>
      <c r="F239" s="13"/>
      <c r="G239" s="1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7"/>
      <c r="B240" s="3"/>
      <c r="C240" s="13"/>
      <c r="D240" s="17"/>
      <c r="E240" s="13"/>
      <c r="F240" s="13"/>
      <c r="G240" s="1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7"/>
      <c r="B241" s="3"/>
      <c r="C241" s="13"/>
      <c r="D241" s="17"/>
      <c r="E241" s="13"/>
      <c r="F241" s="13"/>
      <c r="G241" s="1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7"/>
      <c r="B242" s="3"/>
      <c r="C242" s="13"/>
      <c r="D242" s="17"/>
      <c r="E242" s="13"/>
      <c r="F242" s="13"/>
      <c r="G242" s="1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7"/>
      <c r="B243" s="3"/>
      <c r="C243" s="13"/>
      <c r="D243" s="17"/>
      <c r="E243" s="13"/>
      <c r="F243" s="13"/>
      <c r="G243" s="1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7"/>
      <c r="B244" s="3"/>
      <c r="C244" s="13"/>
      <c r="D244" s="17"/>
      <c r="E244" s="13"/>
      <c r="F244" s="13"/>
      <c r="G244" s="1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7"/>
      <c r="B245" s="3"/>
      <c r="C245" s="13"/>
      <c r="D245" s="17"/>
      <c r="E245" s="13"/>
      <c r="F245" s="13"/>
      <c r="G245" s="1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7"/>
      <c r="B246" s="3"/>
      <c r="C246" s="13"/>
      <c r="D246" s="17"/>
      <c r="E246" s="13"/>
      <c r="F246" s="13"/>
      <c r="G246" s="1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6:G6"/>
    <mergeCell ref="A7:A26"/>
    <mergeCell ref="A27:A47"/>
  </mergeCells>
  <hyperlinks>
    <hyperlink r:id="rId1" ref="D7"/>
    <hyperlink r:id="rId2" ref="D8"/>
    <hyperlink r:id="rId3" ref="D9"/>
    <hyperlink r:id="rId4" ref="D10"/>
    <hyperlink r:id="rId5" ref="D11"/>
    <hyperlink r:id="rId6" ref="D12"/>
    <hyperlink r:id="rId7" ref="D13"/>
    <hyperlink r:id="rId8" ref="D14"/>
    <hyperlink r:id="rId9" ref="D15"/>
    <hyperlink r:id="rId10" ref="D16"/>
    <hyperlink r:id="rId11" ref="D17"/>
    <hyperlink r:id="rId12" ref="D18"/>
    <hyperlink r:id="rId13" ref="D19"/>
    <hyperlink r:id="rId14" ref="D21"/>
    <hyperlink r:id="rId15" ref="D22"/>
    <hyperlink r:id="rId16" ref="D24"/>
    <hyperlink r:id="rId17" ref="D25"/>
    <hyperlink r:id="rId18" ref="D26"/>
  </hyperlinks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3.38"/>
    <col customWidth="1" min="3" max="4" width="22.88"/>
    <col customWidth="1" min="5" max="5" width="9.63"/>
    <col customWidth="1" min="6" max="6" width="15.25"/>
    <col customWidth="1" min="8" max="8" width="19.0"/>
  </cols>
  <sheetData>
    <row r="1" ht="15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 t="s">
        <v>120</v>
      </c>
      <c r="C2" s="38">
        <f>sum(G6:G41)</f>
        <v>3530.288</v>
      </c>
      <c r="D2" s="4"/>
      <c r="E2" s="4"/>
      <c r="F2" s="4"/>
      <c r="G2" s="4"/>
      <c r="H2" s="4"/>
      <c r="I2" s="4"/>
      <c r="J2" s="4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9"/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/>
      <c r="J4" s="4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5" t="s">
        <v>121</v>
      </c>
      <c r="B5" s="10"/>
      <c r="C5" s="10"/>
      <c r="D5" s="10"/>
      <c r="E5" s="10"/>
      <c r="F5" s="10"/>
      <c r="G5" s="11"/>
      <c r="H5" s="2" t="s">
        <v>122</v>
      </c>
      <c r="I5" s="4"/>
      <c r="J5" s="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6" t="s">
        <v>12</v>
      </c>
      <c r="B6" s="3" t="s">
        <v>123</v>
      </c>
      <c r="C6" s="13" t="s">
        <v>14</v>
      </c>
      <c r="D6" s="14" t="s">
        <v>124</v>
      </c>
      <c r="E6" s="13">
        <v>3.0</v>
      </c>
      <c r="F6" s="40">
        <v>933.0</v>
      </c>
      <c r="G6" s="40">
        <f t="shared" ref="G6:G9" si="1">E6*F6</f>
        <v>2799</v>
      </c>
      <c r="H6" s="3"/>
      <c r="I6" s="4"/>
      <c r="J6" s="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6"/>
      <c r="B7" s="18" t="s">
        <v>125</v>
      </c>
      <c r="C7" s="13" t="s">
        <v>126</v>
      </c>
      <c r="D7" s="41" t="s">
        <v>127</v>
      </c>
      <c r="E7" s="13">
        <v>1.0</v>
      </c>
      <c r="F7" s="40">
        <v>324.0</v>
      </c>
      <c r="G7" s="40">
        <f t="shared" si="1"/>
        <v>324</v>
      </c>
      <c r="H7" s="3"/>
      <c r="I7" s="4"/>
      <c r="J7" s="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6"/>
      <c r="B8" s="18" t="s">
        <v>128</v>
      </c>
      <c r="C8" s="13" t="s">
        <v>129</v>
      </c>
      <c r="D8" s="14" t="s">
        <v>130</v>
      </c>
      <c r="E8" s="13">
        <v>1.0</v>
      </c>
      <c r="F8" s="15">
        <v>17.99</v>
      </c>
      <c r="G8" s="15">
        <f t="shared" si="1"/>
        <v>17.99</v>
      </c>
      <c r="H8" s="3"/>
      <c r="I8" s="4"/>
      <c r="J8" s="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6"/>
      <c r="B9" s="3" t="s">
        <v>131</v>
      </c>
      <c r="C9" s="13" t="s">
        <v>132</v>
      </c>
      <c r="D9" s="14" t="s">
        <v>133</v>
      </c>
      <c r="E9" s="13">
        <v>2.0</v>
      </c>
      <c r="F9" s="15">
        <v>44.99</v>
      </c>
      <c r="G9" s="15">
        <f t="shared" si="1"/>
        <v>89.98</v>
      </c>
      <c r="H9" s="3" t="s">
        <v>134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6"/>
      <c r="B10" s="31" t="s">
        <v>135</v>
      </c>
      <c r="C10" s="13" t="s">
        <v>136</v>
      </c>
      <c r="D10" s="14" t="s">
        <v>137</v>
      </c>
      <c r="E10" s="13">
        <v>2.0</v>
      </c>
      <c r="F10" s="15">
        <v>33.98</v>
      </c>
      <c r="G10" s="15">
        <f>F10</f>
        <v>33.98</v>
      </c>
      <c r="H10" s="3" t="s">
        <v>134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6"/>
      <c r="B11" s="18" t="s">
        <v>138</v>
      </c>
      <c r="C11" s="13" t="s">
        <v>139</v>
      </c>
      <c r="D11" s="14" t="s">
        <v>140</v>
      </c>
      <c r="E11" s="13">
        <v>17.0</v>
      </c>
      <c r="F11" s="15">
        <v>0.944</v>
      </c>
      <c r="G11" s="15">
        <f t="shared" ref="G11:G35" si="2">E11*F11</f>
        <v>16.048</v>
      </c>
      <c r="H11" s="3" t="s">
        <v>141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6"/>
      <c r="B12" s="18" t="s">
        <v>142</v>
      </c>
      <c r="C12" s="13" t="s">
        <v>139</v>
      </c>
      <c r="D12" s="14" t="s">
        <v>143</v>
      </c>
      <c r="E12" s="13">
        <v>22.0</v>
      </c>
      <c r="F12" s="15">
        <v>0.84</v>
      </c>
      <c r="G12" s="15">
        <f t="shared" si="2"/>
        <v>18.48</v>
      </c>
      <c r="H12" s="3" t="s">
        <v>144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6"/>
      <c r="B13" s="42" t="s">
        <v>145</v>
      </c>
      <c r="C13" s="13" t="s">
        <v>139</v>
      </c>
      <c r="D13" s="14" t="s">
        <v>146</v>
      </c>
      <c r="E13" s="13">
        <v>10.0</v>
      </c>
      <c r="F13" s="15">
        <v>0.6</v>
      </c>
      <c r="G13" s="15">
        <f t="shared" si="2"/>
        <v>6</v>
      </c>
      <c r="H13" s="3" t="s">
        <v>147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6"/>
      <c r="B14" s="18" t="s">
        <v>148</v>
      </c>
      <c r="C14" s="13" t="s">
        <v>139</v>
      </c>
      <c r="D14" s="14" t="s">
        <v>149</v>
      </c>
      <c r="E14" s="13">
        <v>6.0</v>
      </c>
      <c r="F14" s="15">
        <v>0.95</v>
      </c>
      <c r="G14" s="15">
        <f t="shared" si="2"/>
        <v>5.7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6"/>
      <c r="B15" s="3" t="s">
        <v>150</v>
      </c>
      <c r="C15" s="13" t="s">
        <v>151</v>
      </c>
      <c r="D15" s="14" t="s">
        <v>152</v>
      </c>
      <c r="E15" s="13">
        <v>1.0</v>
      </c>
      <c r="F15" s="15">
        <v>10.99</v>
      </c>
      <c r="G15" s="15">
        <f t="shared" si="2"/>
        <v>10.99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6"/>
      <c r="B16" s="18" t="s">
        <v>153</v>
      </c>
      <c r="C16" s="13" t="s">
        <v>154</v>
      </c>
      <c r="D16" s="14" t="s">
        <v>155</v>
      </c>
      <c r="E16" s="13">
        <v>1.0</v>
      </c>
      <c r="F16" s="15">
        <v>9.59</v>
      </c>
      <c r="G16" s="15">
        <f t="shared" si="2"/>
        <v>9.59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6"/>
      <c r="B17" s="18" t="s">
        <v>156</v>
      </c>
      <c r="C17" s="13" t="s">
        <v>157</v>
      </c>
      <c r="D17" s="14" t="s">
        <v>158</v>
      </c>
      <c r="E17" s="13">
        <v>1.0</v>
      </c>
      <c r="F17" s="15">
        <v>9.99</v>
      </c>
      <c r="G17" s="15">
        <f t="shared" si="2"/>
        <v>9.99</v>
      </c>
      <c r="H17" s="3" t="s">
        <v>159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6"/>
      <c r="B18" s="3" t="s">
        <v>160</v>
      </c>
      <c r="C18" s="13" t="s">
        <v>161</v>
      </c>
      <c r="D18" s="14" t="s">
        <v>162</v>
      </c>
      <c r="E18" s="13">
        <v>2.0</v>
      </c>
      <c r="F18" s="15">
        <v>14.99</v>
      </c>
      <c r="G18" s="15">
        <f t="shared" si="2"/>
        <v>29.98</v>
      </c>
      <c r="H18" s="3" t="s">
        <v>163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6"/>
      <c r="B19" s="3" t="s">
        <v>164</v>
      </c>
      <c r="C19" s="13" t="s">
        <v>165</v>
      </c>
      <c r="D19" s="14" t="s">
        <v>166</v>
      </c>
      <c r="E19" s="13">
        <v>1.0</v>
      </c>
      <c r="F19" s="15">
        <v>8.88</v>
      </c>
      <c r="G19" s="15">
        <f t="shared" si="2"/>
        <v>8.88</v>
      </c>
      <c r="H19" s="3" t="s">
        <v>167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6"/>
      <c r="B20" s="3" t="s">
        <v>168</v>
      </c>
      <c r="C20" s="13" t="s">
        <v>169</v>
      </c>
      <c r="D20" s="14" t="s">
        <v>170</v>
      </c>
      <c r="E20" s="13">
        <v>1.0</v>
      </c>
      <c r="F20" s="15">
        <v>8.99</v>
      </c>
      <c r="G20" s="15">
        <f t="shared" si="2"/>
        <v>8.99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6"/>
      <c r="B21" s="42" t="s">
        <v>171</v>
      </c>
      <c r="C21" s="13" t="s">
        <v>172</v>
      </c>
      <c r="D21" s="14" t="s">
        <v>173</v>
      </c>
      <c r="E21" s="13">
        <v>1.0</v>
      </c>
      <c r="F21" s="15">
        <v>7.99</v>
      </c>
      <c r="G21" s="15">
        <f t="shared" si="2"/>
        <v>7.99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6"/>
      <c r="B22" s="42" t="s">
        <v>174</v>
      </c>
      <c r="C22" s="13" t="s">
        <v>175</v>
      </c>
      <c r="D22" s="14" t="s">
        <v>176</v>
      </c>
      <c r="E22" s="13">
        <v>1.0</v>
      </c>
      <c r="F22" s="15">
        <v>15.99</v>
      </c>
      <c r="G22" s="15">
        <f t="shared" si="2"/>
        <v>15.99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6"/>
      <c r="B23" s="31" t="s">
        <v>177</v>
      </c>
      <c r="C23" s="13" t="s">
        <v>139</v>
      </c>
      <c r="D23" s="14" t="s">
        <v>178</v>
      </c>
      <c r="E23" s="13">
        <v>10.0</v>
      </c>
      <c r="F23" s="15">
        <v>0.94</v>
      </c>
      <c r="G23" s="15">
        <f t="shared" si="2"/>
        <v>9.4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6"/>
      <c r="B24" s="31" t="s">
        <v>179</v>
      </c>
      <c r="C24" s="13" t="s">
        <v>139</v>
      </c>
      <c r="D24" s="14" t="s">
        <v>180</v>
      </c>
      <c r="E24" s="13">
        <v>100.0</v>
      </c>
      <c r="F24" s="15">
        <v>0.0587</v>
      </c>
      <c r="G24" s="15">
        <f t="shared" si="2"/>
        <v>5.87</v>
      </c>
      <c r="H24" s="3" t="s">
        <v>181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6"/>
      <c r="B25" s="42" t="s">
        <v>182</v>
      </c>
      <c r="C25" s="13" t="s">
        <v>183</v>
      </c>
      <c r="D25" s="14" t="s">
        <v>184</v>
      </c>
      <c r="E25" s="13">
        <v>1.0</v>
      </c>
      <c r="F25" s="15">
        <v>12.5</v>
      </c>
      <c r="G25" s="15">
        <f t="shared" si="2"/>
        <v>12.5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6"/>
      <c r="B26" s="31" t="s">
        <v>185</v>
      </c>
      <c r="C26" s="13" t="s">
        <v>186</v>
      </c>
      <c r="D26" s="14" t="s">
        <v>187</v>
      </c>
      <c r="E26" s="13">
        <v>4.0</v>
      </c>
      <c r="F26" s="15">
        <v>11.09</v>
      </c>
      <c r="G26" s="15">
        <f t="shared" si="2"/>
        <v>44.36</v>
      </c>
    </row>
    <row r="27" ht="15.75" customHeight="1">
      <c r="A27" s="16"/>
      <c r="B27" s="26" t="s">
        <v>188</v>
      </c>
      <c r="C27" s="13" t="s">
        <v>139</v>
      </c>
      <c r="D27" s="14" t="s">
        <v>189</v>
      </c>
      <c r="E27" s="13">
        <v>25.0</v>
      </c>
      <c r="F27" s="15">
        <v>0.084</v>
      </c>
      <c r="G27" s="15">
        <f t="shared" si="2"/>
        <v>2.1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6"/>
      <c r="B28" s="26" t="s">
        <v>190</v>
      </c>
      <c r="C28" s="13" t="s">
        <v>139</v>
      </c>
      <c r="D28" s="14" t="s">
        <v>191</v>
      </c>
      <c r="E28" s="13">
        <v>100.0</v>
      </c>
      <c r="F28" s="15">
        <v>0.0314</v>
      </c>
      <c r="G28" s="15">
        <f t="shared" si="2"/>
        <v>3.14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6"/>
      <c r="B29" s="26" t="s">
        <v>192</v>
      </c>
      <c r="C29" s="13" t="s">
        <v>139</v>
      </c>
      <c r="D29" s="14" t="s">
        <v>193</v>
      </c>
      <c r="E29" s="13">
        <v>25.0</v>
      </c>
      <c r="F29" s="15">
        <v>0.2056</v>
      </c>
      <c r="G29" s="15">
        <f t="shared" si="2"/>
        <v>5.14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6"/>
      <c r="B30" s="26" t="s">
        <v>194</v>
      </c>
      <c r="C30" s="13" t="s">
        <v>139</v>
      </c>
      <c r="D30" s="14" t="s">
        <v>195</v>
      </c>
      <c r="E30" s="13">
        <v>100.0</v>
      </c>
      <c r="F30" s="15">
        <v>0.0394</v>
      </c>
      <c r="G30" s="15">
        <f t="shared" si="2"/>
        <v>3.94</v>
      </c>
      <c r="H30" s="3" t="s">
        <v>181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6"/>
      <c r="B31" s="43" t="s">
        <v>196</v>
      </c>
      <c r="C31" s="13" t="s">
        <v>139</v>
      </c>
      <c r="D31" s="14" t="s">
        <v>197</v>
      </c>
      <c r="E31" s="13">
        <v>10.0</v>
      </c>
      <c r="F31" s="15">
        <v>0.093</v>
      </c>
      <c r="G31" s="15">
        <f t="shared" si="2"/>
        <v>0.93</v>
      </c>
      <c r="H31" s="3" t="s">
        <v>198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6"/>
      <c r="B32" s="30" t="s">
        <v>199</v>
      </c>
      <c r="C32" s="13" t="s">
        <v>139</v>
      </c>
      <c r="D32" s="14" t="s">
        <v>200</v>
      </c>
      <c r="E32" s="13">
        <v>10.0</v>
      </c>
      <c r="F32" s="15">
        <v>0.737</v>
      </c>
      <c r="G32" s="15">
        <f t="shared" si="2"/>
        <v>7.37</v>
      </c>
      <c r="H32" s="3" t="s">
        <v>198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6"/>
      <c r="B33" s="30" t="s">
        <v>201</v>
      </c>
      <c r="C33" s="13" t="s">
        <v>139</v>
      </c>
      <c r="D33" s="14" t="s">
        <v>202</v>
      </c>
      <c r="E33" s="13">
        <v>10.0</v>
      </c>
      <c r="F33" s="15">
        <v>0.737</v>
      </c>
      <c r="G33" s="15">
        <f t="shared" si="2"/>
        <v>7.37</v>
      </c>
      <c r="H33" s="3" t="s">
        <v>198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6"/>
      <c r="B34" s="30" t="s">
        <v>203</v>
      </c>
      <c r="C34" s="13" t="s">
        <v>139</v>
      </c>
      <c r="D34" s="14" t="s">
        <v>204</v>
      </c>
      <c r="E34" s="13">
        <v>10.0</v>
      </c>
      <c r="F34" s="15">
        <v>0.722</v>
      </c>
      <c r="G34" s="15">
        <f t="shared" si="2"/>
        <v>7.22</v>
      </c>
      <c r="H34" s="3" t="s">
        <v>198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9"/>
      <c r="B35" s="33" t="s">
        <v>205</v>
      </c>
      <c r="C35" s="21" t="s">
        <v>139</v>
      </c>
      <c r="D35" s="22" t="s">
        <v>206</v>
      </c>
      <c r="E35" s="21">
        <v>10.0</v>
      </c>
      <c r="F35" s="23">
        <v>0.737</v>
      </c>
      <c r="G35" s="23">
        <f t="shared" si="2"/>
        <v>7.37</v>
      </c>
      <c r="H35" s="20" t="s">
        <v>198</v>
      </c>
      <c r="I35" s="20"/>
      <c r="J35" s="20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7"/>
      <c r="C36" s="3"/>
      <c r="D36" s="17"/>
      <c r="E36" s="13"/>
      <c r="F36" s="15"/>
      <c r="G36" s="15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2" t="s">
        <v>55</v>
      </c>
      <c r="B37" s="26" t="s">
        <v>207</v>
      </c>
      <c r="C37" s="3"/>
      <c r="D37" s="17" t="s">
        <v>208</v>
      </c>
      <c r="E37" s="13">
        <v>1.0</v>
      </c>
      <c r="F37" s="15"/>
      <c r="G37" s="15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6"/>
      <c r="B38" s="26" t="s">
        <v>209</v>
      </c>
      <c r="C38" s="3"/>
      <c r="D38" s="17" t="s">
        <v>210</v>
      </c>
      <c r="E38" s="13">
        <v>1.0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6"/>
      <c r="B39" s="26" t="s">
        <v>211</v>
      </c>
      <c r="C39" s="3"/>
      <c r="D39" s="17" t="s">
        <v>212</v>
      </c>
      <c r="E39" s="13">
        <v>1.0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6"/>
      <c r="B40" s="26" t="s">
        <v>213</v>
      </c>
      <c r="C40" s="3"/>
      <c r="D40" s="17" t="s">
        <v>214</v>
      </c>
      <c r="E40" s="13">
        <v>2.0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6"/>
      <c r="B41" s="26" t="s">
        <v>215</v>
      </c>
      <c r="C41" s="3"/>
      <c r="D41" s="17" t="s">
        <v>216</v>
      </c>
      <c r="E41" s="13">
        <v>1.0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6"/>
      <c r="B42" s="26" t="s">
        <v>217</v>
      </c>
      <c r="C42" s="3"/>
      <c r="D42" s="17" t="s">
        <v>218</v>
      </c>
      <c r="E42" s="13">
        <v>8.0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6"/>
      <c r="B43" s="3"/>
      <c r="C43" s="3"/>
      <c r="D43" s="17"/>
      <c r="E43" s="1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9"/>
      <c r="B44" s="3"/>
      <c r="C44" s="3"/>
      <c r="D44" s="17"/>
      <c r="E44" s="1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6"/>
      <c r="C45" s="3"/>
      <c r="D45" s="17"/>
      <c r="E45" s="1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6"/>
      <c r="C46" s="3"/>
      <c r="D46" s="17"/>
      <c r="E46" s="1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6"/>
      <c r="C47" s="13"/>
      <c r="D47" s="17"/>
      <c r="E47" s="13"/>
      <c r="F47" s="13"/>
      <c r="G47" s="1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6"/>
      <c r="C48" s="13"/>
      <c r="D48" s="17"/>
      <c r="E48" s="13"/>
      <c r="F48" s="13"/>
      <c r="G48" s="1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4"/>
      <c r="C49" s="13"/>
      <c r="D49" s="17"/>
      <c r="E49" s="13"/>
      <c r="F49" s="13"/>
      <c r="G49" s="1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7"/>
      <c r="C50" s="13"/>
      <c r="D50" s="17"/>
      <c r="E50" s="13"/>
      <c r="F50" s="13"/>
      <c r="G50" s="1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7"/>
      <c r="C51" s="13"/>
      <c r="D51" s="17"/>
      <c r="E51" s="13"/>
      <c r="F51" s="13"/>
      <c r="G51" s="1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7"/>
      <c r="C52" s="13"/>
      <c r="D52" s="17"/>
      <c r="E52" s="13"/>
      <c r="F52" s="13"/>
      <c r="G52" s="1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7"/>
      <c r="C53" s="13"/>
      <c r="D53" s="17"/>
      <c r="E53" s="13"/>
      <c r="F53" s="13"/>
      <c r="G53" s="1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7"/>
      <c r="C54" s="13"/>
      <c r="D54" s="17"/>
      <c r="E54" s="13"/>
      <c r="F54" s="13"/>
      <c r="G54" s="1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7"/>
      <c r="C55" s="13"/>
      <c r="D55" s="17"/>
      <c r="E55" s="13"/>
      <c r="F55" s="13"/>
      <c r="G55" s="1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7"/>
      <c r="C56" s="13"/>
      <c r="D56" s="17"/>
      <c r="E56" s="13"/>
      <c r="F56" s="13"/>
      <c r="G56" s="1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7"/>
      <c r="C57" s="13"/>
      <c r="D57" s="17"/>
      <c r="E57" s="13"/>
      <c r="F57" s="13"/>
      <c r="G57" s="1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7"/>
      <c r="B58" s="3"/>
      <c r="C58" s="13"/>
      <c r="D58" s="17"/>
      <c r="E58" s="13"/>
      <c r="F58" s="13"/>
      <c r="G58" s="1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7"/>
      <c r="B59" s="3"/>
      <c r="C59" s="13"/>
      <c r="D59" s="17"/>
      <c r="E59" s="13"/>
      <c r="F59" s="13"/>
      <c r="G59" s="1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7"/>
      <c r="B60" s="3"/>
      <c r="C60" s="13"/>
      <c r="D60" s="17"/>
      <c r="E60" s="13"/>
      <c r="F60" s="13"/>
      <c r="G60" s="1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7"/>
      <c r="B61" s="3"/>
      <c r="C61" s="13"/>
      <c r="D61" s="17"/>
      <c r="E61" s="13"/>
      <c r="F61" s="13"/>
      <c r="G61" s="1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7"/>
      <c r="B62" s="3"/>
      <c r="C62" s="13"/>
      <c r="D62" s="17"/>
      <c r="E62" s="13"/>
      <c r="F62" s="13"/>
      <c r="G62" s="1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7"/>
      <c r="B63" s="3"/>
      <c r="C63" s="13"/>
      <c r="D63" s="17"/>
      <c r="E63" s="13"/>
      <c r="F63" s="13"/>
      <c r="G63" s="1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7"/>
      <c r="B64" s="3"/>
      <c r="C64" s="13"/>
      <c r="D64" s="17"/>
      <c r="E64" s="13"/>
      <c r="F64" s="13"/>
      <c r="G64" s="1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7"/>
      <c r="B65" s="3"/>
      <c r="C65" s="13"/>
      <c r="D65" s="17"/>
      <c r="E65" s="13"/>
      <c r="F65" s="13"/>
      <c r="G65" s="1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7"/>
      <c r="B66" s="3"/>
      <c r="C66" s="13"/>
      <c r="D66" s="17"/>
      <c r="E66" s="13"/>
      <c r="F66" s="13"/>
      <c r="G66" s="1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7"/>
      <c r="B67" s="3"/>
      <c r="C67" s="13"/>
      <c r="D67" s="17"/>
      <c r="E67" s="13"/>
      <c r="F67" s="13"/>
      <c r="G67" s="1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7"/>
      <c r="B68" s="3"/>
      <c r="C68" s="13"/>
      <c r="D68" s="17"/>
      <c r="E68" s="13"/>
      <c r="F68" s="13"/>
      <c r="G68" s="1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7"/>
      <c r="B69" s="3"/>
      <c r="C69" s="13"/>
      <c r="D69" s="17"/>
      <c r="E69" s="13"/>
      <c r="F69" s="13"/>
      <c r="G69" s="1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7"/>
      <c r="B70" s="3"/>
      <c r="C70" s="13"/>
      <c r="D70" s="17"/>
      <c r="E70" s="13"/>
      <c r="F70" s="13"/>
      <c r="G70" s="1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7"/>
      <c r="B71" s="3"/>
      <c r="C71" s="13"/>
      <c r="D71" s="17"/>
      <c r="E71" s="13"/>
      <c r="F71" s="13"/>
      <c r="G71" s="1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7"/>
      <c r="B72" s="3"/>
      <c r="C72" s="13"/>
      <c r="D72" s="17"/>
      <c r="E72" s="13"/>
      <c r="F72" s="13"/>
      <c r="G72" s="1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7"/>
      <c r="B73" s="3"/>
      <c r="C73" s="13"/>
      <c r="D73" s="17"/>
      <c r="E73" s="13"/>
      <c r="F73" s="13"/>
      <c r="G73" s="1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7"/>
      <c r="B74" s="3"/>
      <c r="C74" s="13"/>
      <c r="D74" s="17"/>
      <c r="E74" s="13"/>
      <c r="F74" s="13"/>
      <c r="G74" s="1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7"/>
      <c r="B75" s="3"/>
      <c r="C75" s="13"/>
      <c r="D75" s="17"/>
      <c r="E75" s="13"/>
      <c r="F75" s="13"/>
      <c r="G75" s="1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7"/>
      <c r="B76" s="3"/>
      <c r="C76" s="13"/>
      <c r="D76" s="17"/>
      <c r="E76" s="13"/>
      <c r="F76" s="13"/>
      <c r="G76" s="1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7"/>
      <c r="B77" s="3"/>
      <c r="C77" s="13"/>
      <c r="D77" s="17"/>
      <c r="E77" s="13"/>
      <c r="F77" s="13"/>
      <c r="G77" s="1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7"/>
      <c r="B78" s="3"/>
      <c r="C78" s="13"/>
      <c r="D78" s="17"/>
      <c r="E78" s="13"/>
      <c r="F78" s="13"/>
      <c r="G78" s="1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7"/>
      <c r="B79" s="3"/>
      <c r="C79" s="13"/>
      <c r="D79" s="17"/>
      <c r="E79" s="13"/>
      <c r="F79" s="13"/>
      <c r="G79" s="1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7"/>
      <c r="B80" s="3"/>
      <c r="C80" s="13"/>
      <c r="D80" s="17"/>
      <c r="E80" s="13"/>
      <c r="F80" s="13"/>
      <c r="G80" s="1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7"/>
      <c r="B81" s="3"/>
      <c r="C81" s="13"/>
      <c r="D81" s="17"/>
      <c r="E81" s="13"/>
      <c r="F81" s="13"/>
      <c r="G81" s="1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7"/>
      <c r="B82" s="3"/>
      <c r="C82" s="13"/>
      <c r="D82" s="17"/>
      <c r="E82" s="13"/>
      <c r="F82" s="13"/>
      <c r="G82" s="1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7"/>
      <c r="B83" s="3"/>
      <c r="C83" s="13"/>
      <c r="D83" s="17"/>
      <c r="E83" s="13"/>
      <c r="F83" s="13"/>
      <c r="G83" s="1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7"/>
      <c r="B84" s="3"/>
      <c r="C84" s="13"/>
      <c r="D84" s="17"/>
      <c r="E84" s="13"/>
      <c r="F84" s="13"/>
      <c r="G84" s="1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7"/>
      <c r="B85" s="3"/>
      <c r="C85" s="13"/>
      <c r="D85" s="17"/>
      <c r="E85" s="13"/>
      <c r="F85" s="13"/>
      <c r="G85" s="1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7"/>
      <c r="B86" s="3"/>
      <c r="C86" s="13"/>
      <c r="D86" s="17"/>
      <c r="E86" s="13"/>
      <c r="F86" s="13"/>
      <c r="G86" s="1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7"/>
      <c r="B87" s="3"/>
      <c r="C87" s="13"/>
      <c r="D87" s="17"/>
      <c r="E87" s="13"/>
      <c r="F87" s="13"/>
      <c r="G87" s="1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7"/>
      <c r="B88" s="3"/>
      <c r="C88" s="13"/>
      <c r="D88" s="17"/>
      <c r="E88" s="13"/>
      <c r="F88" s="13"/>
      <c r="G88" s="1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7"/>
      <c r="B89" s="3"/>
      <c r="C89" s="13"/>
      <c r="D89" s="17"/>
      <c r="E89" s="13"/>
      <c r="F89" s="13"/>
      <c r="G89" s="1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7"/>
      <c r="B90" s="3"/>
      <c r="C90" s="13"/>
      <c r="D90" s="17"/>
      <c r="E90" s="13"/>
      <c r="F90" s="13"/>
      <c r="G90" s="1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7"/>
      <c r="B91" s="3"/>
      <c r="C91" s="13"/>
      <c r="D91" s="17"/>
      <c r="E91" s="13"/>
      <c r="F91" s="13"/>
      <c r="G91" s="1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7"/>
      <c r="B92" s="3"/>
      <c r="C92" s="13"/>
      <c r="D92" s="17"/>
      <c r="E92" s="13"/>
      <c r="F92" s="13"/>
      <c r="G92" s="1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7"/>
      <c r="B93" s="3"/>
      <c r="C93" s="13"/>
      <c r="D93" s="17"/>
      <c r="E93" s="13"/>
      <c r="F93" s="13"/>
      <c r="G93" s="1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7"/>
      <c r="B94" s="3"/>
      <c r="C94" s="13"/>
      <c r="D94" s="17"/>
      <c r="E94" s="13"/>
      <c r="F94" s="13"/>
      <c r="G94" s="1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7"/>
      <c r="B95" s="3"/>
      <c r="C95" s="13"/>
      <c r="D95" s="17"/>
      <c r="E95" s="13"/>
      <c r="F95" s="13"/>
      <c r="G95" s="1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7"/>
      <c r="B96" s="3"/>
      <c r="C96" s="13"/>
      <c r="D96" s="17"/>
      <c r="E96" s="13"/>
      <c r="F96" s="13"/>
      <c r="G96" s="1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7"/>
      <c r="B97" s="3"/>
      <c r="C97" s="13"/>
      <c r="D97" s="17"/>
      <c r="E97" s="13"/>
      <c r="F97" s="13"/>
      <c r="G97" s="1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7"/>
      <c r="B98" s="3"/>
      <c r="C98" s="13"/>
      <c r="D98" s="17"/>
      <c r="E98" s="13"/>
      <c r="F98" s="13"/>
      <c r="G98" s="1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7"/>
      <c r="B99" s="3"/>
      <c r="C99" s="13"/>
      <c r="D99" s="17"/>
      <c r="E99" s="13"/>
      <c r="F99" s="13"/>
      <c r="G99" s="1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7"/>
      <c r="B100" s="3"/>
      <c r="C100" s="13"/>
      <c r="D100" s="17"/>
      <c r="E100" s="13"/>
      <c r="F100" s="13"/>
      <c r="G100" s="1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7"/>
      <c r="B101" s="3"/>
      <c r="C101" s="13"/>
      <c r="D101" s="17"/>
      <c r="E101" s="13"/>
      <c r="F101" s="13"/>
      <c r="G101" s="1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7"/>
      <c r="B102" s="3"/>
      <c r="C102" s="13"/>
      <c r="D102" s="17"/>
      <c r="E102" s="13"/>
      <c r="F102" s="13"/>
      <c r="G102" s="1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7"/>
      <c r="B103" s="3"/>
      <c r="C103" s="13"/>
      <c r="D103" s="17"/>
      <c r="E103" s="13"/>
      <c r="F103" s="13"/>
      <c r="G103" s="1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7"/>
      <c r="B104" s="3"/>
      <c r="C104" s="13"/>
      <c r="D104" s="17"/>
      <c r="E104" s="13"/>
      <c r="F104" s="13"/>
      <c r="G104" s="1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7"/>
      <c r="B105" s="3"/>
      <c r="C105" s="13"/>
      <c r="D105" s="17"/>
      <c r="E105" s="13"/>
      <c r="F105" s="13"/>
      <c r="G105" s="1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7"/>
      <c r="B106" s="3"/>
      <c r="C106" s="13"/>
      <c r="D106" s="17"/>
      <c r="E106" s="13"/>
      <c r="F106" s="13"/>
      <c r="G106" s="1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7"/>
      <c r="B107" s="3"/>
      <c r="C107" s="13"/>
      <c r="D107" s="17"/>
      <c r="E107" s="13"/>
      <c r="F107" s="13"/>
      <c r="G107" s="1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7"/>
      <c r="B108" s="3"/>
      <c r="C108" s="13"/>
      <c r="D108" s="17"/>
      <c r="E108" s="13"/>
      <c r="F108" s="13"/>
      <c r="G108" s="1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7"/>
      <c r="B109" s="3"/>
      <c r="C109" s="13"/>
      <c r="D109" s="17"/>
      <c r="E109" s="13"/>
      <c r="F109" s="13"/>
      <c r="G109" s="1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7"/>
      <c r="B110" s="3"/>
      <c r="C110" s="13"/>
      <c r="D110" s="17"/>
      <c r="E110" s="13"/>
      <c r="F110" s="13"/>
      <c r="G110" s="1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7"/>
      <c r="B111" s="3"/>
      <c r="C111" s="13"/>
      <c r="D111" s="17"/>
      <c r="E111" s="13"/>
      <c r="F111" s="13"/>
      <c r="G111" s="1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7"/>
      <c r="B112" s="3"/>
      <c r="C112" s="13"/>
      <c r="D112" s="17"/>
      <c r="E112" s="13"/>
      <c r="F112" s="13"/>
      <c r="G112" s="1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7"/>
      <c r="B113" s="3"/>
      <c r="C113" s="13"/>
      <c r="D113" s="17"/>
      <c r="E113" s="13"/>
      <c r="F113" s="13"/>
      <c r="G113" s="1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7"/>
      <c r="B114" s="3"/>
      <c r="C114" s="13"/>
      <c r="D114" s="17"/>
      <c r="E114" s="13"/>
      <c r="F114" s="13"/>
      <c r="G114" s="1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7"/>
      <c r="B115" s="3"/>
      <c r="C115" s="13"/>
      <c r="D115" s="17"/>
      <c r="E115" s="13"/>
      <c r="F115" s="13"/>
      <c r="G115" s="1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7"/>
      <c r="B116" s="3"/>
      <c r="C116" s="13"/>
      <c r="D116" s="17"/>
      <c r="E116" s="13"/>
      <c r="F116" s="13"/>
      <c r="G116" s="1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7"/>
      <c r="B117" s="3"/>
      <c r="C117" s="13"/>
      <c r="D117" s="17"/>
      <c r="E117" s="13"/>
      <c r="F117" s="13"/>
      <c r="G117" s="1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7"/>
      <c r="B118" s="3"/>
      <c r="C118" s="13"/>
      <c r="D118" s="17"/>
      <c r="E118" s="13"/>
      <c r="F118" s="13"/>
      <c r="G118" s="1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7"/>
      <c r="B119" s="3"/>
      <c r="C119" s="13"/>
      <c r="D119" s="17"/>
      <c r="E119" s="13"/>
      <c r="F119" s="13"/>
      <c r="G119" s="1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7"/>
      <c r="B120" s="3"/>
      <c r="C120" s="13"/>
      <c r="D120" s="17"/>
      <c r="E120" s="13"/>
      <c r="F120" s="13"/>
      <c r="G120" s="1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7"/>
      <c r="B121" s="3"/>
      <c r="C121" s="13"/>
      <c r="D121" s="17"/>
      <c r="E121" s="13"/>
      <c r="F121" s="13"/>
      <c r="G121" s="1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7"/>
      <c r="B122" s="3"/>
      <c r="C122" s="13"/>
      <c r="D122" s="17"/>
      <c r="E122" s="13"/>
      <c r="F122" s="13"/>
      <c r="G122" s="1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7"/>
      <c r="B123" s="3"/>
      <c r="C123" s="13"/>
      <c r="D123" s="17"/>
      <c r="E123" s="13"/>
      <c r="F123" s="13"/>
      <c r="G123" s="1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7"/>
      <c r="B124" s="3"/>
      <c r="C124" s="13"/>
      <c r="D124" s="17"/>
      <c r="E124" s="13"/>
      <c r="F124" s="13"/>
      <c r="G124" s="1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7"/>
      <c r="B125" s="3"/>
      <c r="C125" s="13"/>
      <c r="D125" s="17"/>
      <c r="E125" s="13"/>
      <c r="F125" s="13"/>
      <c r="G125" s="1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7"/>
      <c r="B126" s="3"/>
      <c r="C126" s="13"/>
      <c r="D126" s="17"/>
      <c r="E126" s="13"/>
      <c r="F126" s="13"/>
      <c r="G126" s="1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7"/>
      <c r="B127" s="3"/>
      <c r="C127" s="13"/>
      <c r="D127" s="17"/>
      <c r="E127" s="13"/>
      <c r="F127" s="13"/>
      <c r="G127" s="1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7"/>
      <c r="B128" s="3"/>
      <c r="C128" s="13"/>
      <c r="D128" s="17"/>
      <c r="E128" s="13"/>
      <c r="F128" s="13"/>
      <c r="G128" s="1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7"/>
      <c r="B129" s="3"/>
      <c r="C129" s="13"/>
      <c r="D129" s="17"/>
      <c r="E129" s="13"/>
      <c r="F129" s="13"/>
      <c r="G129" s="1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7"/>
      <c r="B130" s="3"/>
      <c r="C130" s="13"/>
      <c r="D130" s="17"/>
      <c r="E130" s="13"/>
      <c r="F130" s="13"/>
      <c r="G130" s="1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7"/>
      <c r="B131" s="3"/>
      <c r="C131" s="13"/>
      <c r="D131" s="17"/>
      <c r="E131" s="13"/>
      <c r="F131" s="13"/>
      <c r="G131" s="1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7"/>
      <c r="B132" s="3"/>
      <c r="C132" s="13"/>
      <c r="D132" s="17"/>
      <c r="E132" s="13"/>
      <c r="F132" s="13"/>
      <c r="G132" s="1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7"/>
      <c r="B133" s="3"/>
      <c r="C133" s="13"/>
      <c r="D133" s="17"/>
      <c r="E133" s="13"/>
      <c r="F133" s="13"/>
      <c r="G133" s="1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7"/>
      <c r="B134" s="3"/>
      <c r="C134" s="13"/>
      <c r="D134" s="17"/>
      <c r="E134" s="13"/>
      <c r="F134" s="13"/>
      <c r="G134" s="1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7"/>
      <c r="B135" s="3"/>
      <c r="C135" s="13"/>
      <c r="D135" s="17"/>
      <c r="E135" s="13"/>
      <c r="F135" s="13"/>
      <c r="G135" s="1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7"/>
      <c r="B136" s="3"/>
      <c r="C136" s="13"/>
      <c r="D136" s="17"/>
      <c r="E136" s="13"/>
      <c r="F136" s="13"/>
      <c r="G136" s="1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7"/>
      <c r="B137" s="3"/>
      <c r="C137" s="13"/>
      <c r="D137" s="17"/>
      <c r="E137" s="13"/>
      <c r="F137" s="13"/>
      <c r="G137" s="1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7"/>
      <c r="B138" s="3"/>
      <c r="C138" s="13"/>
      <c r="D138" s="17"/>
      <c r="E138" s="13"/>
      <c r="F138" s="13"/>
      <c r="G138" s="1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7"/>
      <c r="B139" s="3"/>
      <c r="C139" s="13"/>
      <c r="D139" s="17"/>
      <c r="E139" s="13"/>
      <c r="F139" s="13"/>
      <c r="G139" s="1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7"/>
      <c r="B140" s="3"/>
      <c r="C140" s="13"/>
      <c r="D140" s="17"/>
      <c r="E140" s="13"/>
      <c r="F140" s="13"/>
      <c r="G140" s="1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7"/>
      <c r="B141" s="3"/>
      <c r="C141" s="13"/>
      <c r="D141" s="17"/>
      <c r="E141" s="13"/>
      <c r="F141" s="13"/>
      <c r="G141" s="1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7"/>
      <c r="B142" s="3"/>
      <c r="C142" s="13"/>
      <c r="D142" s="17"/>
      <c r="E142" s="13"/>
      <c r="F142" s="13"/>
      <c r="G142" s="1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7"/>
      <c r="B143" s="3"/>
      <c r="C143" s="13"/>
      <c r="D143" s="17"/>
      <c r="E143" s="13"/>
      <c r="F143" s="13"/>
      <c r="G143" s="1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7"/>
      <c r="B144" s="3"/>
      <c r="C144" s="13"/>
      <c r="D144" s="17"/>
      <c r="E144" s="13"/>
      <c r="F144" s="13"/>
      <c r="G144" s="1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7"/>
      <c r="B145" s="3"/>
      <c r="C145" s="13"/>
      <c r="D145" s="17"/>
      <c r="E145" s="13"/>
      <c r="F145" s="13"/>
      <c r="G145" s="1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7"/>
      <c r="B146" s="3"/>
      <c r="C146" s="13"/>
      <c r="D146" s="17"/>
      <c r="E146" s="13"/>
      <c r="F146" s="13"/>
      <c r="G146" s="1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7"/>
      <c r="B147" s="3"/>
      <c r="C147" s="13"/>
      <c r="D147" s="17"/>
      <c r="E147" s="13"/>
      <c r="F147" s="13"/>
      <c r="G147" s="1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7"/>
      <c r="B148" s="3"/>
      <c r="C148" s="13"/>
      <c r="D148" s="17"/>
      <c r="E148" s="13"/>
      <c r="F148" s="13"/>
      <c r="G148" s="1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7"/>
      <c r="B149" s="3"/>
      <c r="C149" s="13"/>
      <c r="D149" s="17"/>
      <c r="E149" s="13"/>
      <c r="F149" s="13"/>
      <c r="G149" s="1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7"/>
      <c r="B150" s="3"/>
      <c r="C150" s="13"/>
      <c r="D150" s="17"/>
      <c r="E150" s="13"/>
      <c r="F150" s="13"/>
      <c r="G150" s="1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7"/>
      <c r="B151" s="3"/>
      <c r="C151" s="13"/>
      <c r="D151" s="17"/>
      <c r="E151" s="13"/>
      <c r="F151" s="13"/>
      <c r="G151" s="1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7"/>
      <c r="B152" s="3"/>
      <c r="C152" s="13"/>
      <c r="D152" s="17"/>
      <c r="E152" s="13"/>
      <c r="F152" s="13"/>
      <c r="G152" s="1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7"/>
      <c r="B153" s="3"/>
      <c r="C153" s="13"/>
      <c r="D153" s="17"/>
      <c r="E153" s="13"/>
      <c r="F153" s="13"/>
      <c r="G153" s="1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7"/>
      <c r="B154" s="3"/>
      <c r="C154" s="13"/>
      <c r="D154" s="17"/>
      <c r="E154" s="13"/>
      <c r="F154" s="13"/>
      <c r="G154" s="1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7"/>
      <c r="B155" s="3"/>
      <c r="C155" s="13"/>
      <c r="D155" s="17"/>
      <c r="E155" s="13"/>
      <c r="F155" s="13"/>
      <c r="G155" s="1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7"/>
      <c r="B156" s="3"/>
      <c r="C156" s="13"/>
      <c r="D156" s="17"/>
      <c r="E156" s="13"/>
      <c r="F156" s="13"/>
      <c r="G156" s="1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7"/>
      <c r="B157" s="3"/>
      <c r="C157" s="13"/>
      <c r="D157" s="17"/>
      <c r="E157" s="13"/>
      <c r="F157" s="13"/>
      <c r="G157" s="1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7"/>
      <c r="B158" s="3"/>
      <c r="C158" s="13"/>
      <c r="D158" s="17"/>
      <c r="E158" s="13"/>
      <c r="F158" s="13"/>
      <c r="G158" s="1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7"/>
      <c r="B159" s="3"/>
      <c r="C159" s="13"/>
      <c r="D159" s="17"/>
      <c r="E159" s="13"/>
      <c r="F159" s="13"/>
      <c r="G159" s="1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7"/>
      <c r="B160" s="3"/>
      <c r="C160" s="13"/>
      <c r="D160" s="17"/>
      <c r="E160" s="13"/>
      <c r="F160" s="13"/>
      <c r="G160" s="1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7"/>
      <c r="B161" s="3"/>
      <c r="C161" s="13"/>
      <c r="D161" s="17"/>
      <c r="E161" s="13"/>
      <c r="F161" s="13"/>
      <c r="G161" s="1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7"/>
      <c r="B162" s="3"/>
      <c r="C162" s="13"/>
      <c r="D162" s="17"/>
      <c r="E162" s="13"/>
      <c r="F162" s="13"/>
      <c r="G162" s="1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7"/>
      <c r="B163" s="3"/>
      <c r="C163" s="13"/>
      <c r="D163" s="17"/>
      <c r="E163" s="13"/>
      <c r="F163" s="13"/>
      <c r="G163" s="1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7"/>
      <c r="B164" s="3"/>
      <c r="C164" s="13"/>
      <c r="D164" s="17"/>
      <c r="E164" s="13"/>
      <c r="F164" s="13"/>
      <c r="G164" s="1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7"/>
      <c r="B165" s="3"/>
      <c r="C165" s="13"/>
      <c r="D165" s="17"/>
      <c r="E165" s="13"/>
      <c r="F165" s="13"/>
      <c r="G165" s="1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7"/>
      <c r="B166" s="3"/>
      <c r="C166" s="13"/>
      <c r="D166" s="17"/>
      <c r="E166" s="13"/>
      <c r="F166" s="13"/>
      <c r="G166" s="1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7"/>
      <c r="B167" s="3"/>
      <c r="C167" s="13"/>
      <c r="D167" s="17"/>
      <c r="E167" s="13"/>
      <c r="F167" s="13"/>
      <c r="G167" s="1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7"/>
      <c r="B168" s="3"/>
      <c r="C168" s="13"/>
      <c r="D168" s="17"/>
      <c r="E168" s="13"/>
      <c r="F168" s="13"/>
      <c r="G168" s="1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7"/>
      <c r="B169" s="3"/>
      <c r="C169" s="13"/>
      <c r="D169" s="17"/>
      <c r="E169" s="13"/>
      <c r="F169" s="13"/>
      <c r="G169" s="1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7"/>
      <c r="B170" s="3"/>
      <c r="C170" s="13"/>
      <c r="D170" s="17"/>
      <c r="E170" s="13"/>
      <c r="F170" s="13"/>
      <c r="G170" s="1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7"/>
      <c r="B171" s="3"/>
      <c r="C171" s="13"/>
      <c r="D171" s="17"/>
      <c r="E171" s="13"/>
      <c r="F171" s="13"/>
      <c r="G171" s="1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7"/>
      <c r="B172" s="3"/>
      <c r="C172" s="13"/>
      <c r="D172" s="17"/>
      <c r="E172" s="13"/>
      <c r="F172" s="13"/>
      <c r="G172" s="1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7"/>
      <c r="B173" s="3"/>
      <c r="C173" s="13"/>
      <c r="D173" s="17"/>
      <c r="E173" s="13"/>
      <c r="F173" s="13"/>
      <c r="G173" s="1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7"/>
      <c r="B174" s="3"/>
      <c r="C174" s="13"/>
      <c r="D174" s="17"/>
      <c r="E174" s="13"/>
      <c r="F174" s="13"/>
      <c r="G174" s="1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7"/>
      <c r="B175" s="3"/>
      <c r="C175" s="13"/>
      <c r="D175" s="17"/>
      <c r="E175" s="13"/>
      <c r="F175" s="13"/>
      <c r="G175" s="1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7"/>
      <c r="B176" s="3"/>
      <c r="C176" s="13"/>
      <c r="D176" s="17"/>
      <c r="E176" s="13"/>
      <c r="F176" s="13"/>
      <c r="G176" s="1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7"/>
      <c r="B177" s="3"/>
      <c r="C177" s="13"/>
      <c r="D177" s="17"/>
      <c r="E177" s="13"/>
      <c r="F177" s="13"/>
      <c r="G177" s="1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7"/>
      <c r="B178" s="3"/>
      <c r="C178" s="13"/>
      <c r="D178" s="17"/>
      <c r="E178" s="13"/>
      <c r="F178" s="13"/>
      <c r="G178" s="1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7"/>
      <c r="B179" s="3"/>
      <c r="C179" s="13"/>
      <c r="D179" s="17"/>
      <c r="E179" s="13"/>
      <c r="F179" s="13"/>
      <c r="G179" s="1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7"/>
      <c r="B180" s="3"/>
      <c r="C180" s="13"/>
      <c r="D180" s="17"/>
      <c r="E180" s="13"/>
      <c r="F180" s="13"/>
      <c r="G180" s="1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7"/>
      <c r="B181" s="3"/>
      <c r="C181" s="13"/>
      <c r="D181" s="17"/>
      <c r="E181" s="13"/>
      <c r="F181" s="13"/>
      <c r="G181" s="1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7"/>
      <c r="B182" s="3"/>
      <c r="C182" s="13"/>
      <c r="D182" s="17"/>
      <c r="E182" s="13"/>
      <c r="F182" s="13"/>
      <c r="G182" s="1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7"/>
      <c r="B183" s="3"/>
      <c r="C183" s="13"/>
      <c r="D183" s="17"/>
      <c r="E183" s="13"/>
      <c r="F183" s="13"/>
      <c r="G183" s="1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7"/>
      <c r="B184" s="3"/>
      <c r="C184" s="13"/>
      <c r="D184" s="17"/>
      <c r="E184" s="13"/>
      <c r="F184" s="13"/>
      <c r="G184" s="1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7"/>
      <c r="B185" s="3"/>
      <c r="C185" s="13"/>
      <c r="D185" s="17"/>
      <c r="E185" s="13"/>
      <c r="F185" s="13"/>
      <c r="G185" s="1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7"/>
      <c r="B186" s="3"/>
      <c r="C186" s="13"/>
      <c r="D186" s="17"/>
      <c r="E186" s="13"/>
      <c r="F186" s="13"/>
      <c r="G186" s="1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7"/>
      <c r="B187" s="3"/>
      <c r="C187" s="13"/>
      <c r="D187" s="17"/>
      <c r="E187" s="13"/>
      <c r="F187" s="13"/>
      <c r="G187" s="1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7"/>
      <c r="B188" s="3"/>
      <c r="C188" s="13"/>
      <c r="D188" s="17"/>
      <c r="E188" s="13"/>
      <c r="F188" s="13"/>
      <c r="G188" s="1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7"/>
      <c r="B189" s="3"/>
      <c r="C189" s="13"/>
      <c r="D189" s="17"/>
      <c r="E189" s="13"/>
      <c r="F189" s="13"/>
      <c r="G189" s="1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7"/>
      <c r="B190" s="3"/>
      <c r="C190" s="13"/>
      <c r="D190" s="17"/>
      <c r="E190" s="13"/>
      <c r="F190" s="13"/>
      <c r="G190" s="1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7"/>
      <c r="B191" s="3"/>
      <c r="C191" s="13"/>
      <c r="D191" s="17"/>
      <c r="E191" s="13"/>
      <c r="F191" s="13"/>
      <c r="G191" s="1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7"/>
      <c r="B192" s="3"/>
      <c r="C192" s="13"/>
      <c r="D192" s="17"/>
      <c r="E192" s="13"/>
      <c r="F192" s="13"/>
      <c r="G192" s="1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7"/>
      <c r="B193" s="3"/>
      <c r="C193" s="13"/>
      <c r="D193" s="17"/>
      <c r="E193" s="13"/>
      <c r="F193" s="13"/>
      <c r="G193" s="1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7"/>
      <c r="B194" s="3"/>
      <c r="C194" s="13"/>
      <c r="D194" s="17"/>
      <c r="E194" s="13"/>
      <c r="F194" s="13"/>
      <c r="G194" s="1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7"/>
      <c r="B195" s="3"/>
      <c r="C195" s="13"/>
      <c r="D195" s="17"/>
      <c r="E195" s="13"/>
      <c r="F195" s="13"/>
      <c r="G195" s="1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7"/>
      <c r="B196" s="3"/>
      <c r="C196" s="13"/>
      <c r="D196" s="17"/>
      <c r="E196" s="13"/>
      <c r="F196" s="13"/>
      <c r="G196" s="1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7"/>
      <c r="B197" s="3"/>
      <c r="C197" s="13"/>
      <c r="D197" s="17"/>
      <c r="E197" s="13"/>
      <c r="F197" s="13"/>
      <c r="G197" s="1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7"/>
      <c r="B198" s="3"/>
      <c r="C198" s="13"/>
      <c r="D198" s="17"/>
      <c r="E198" s="13"/>
      <c r="F198" s="13"/>
      <c r="G198" s="1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7"/>
      <c r="B199" s="3"/>
      <c r="C199" s="13"/>
      <c r="D199" s="17"/>
      <c r="E199" s="13"/>
      <c r="F199" s="13"/>
      <c r="G199" s="1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7"/>
      <c r="B200" s="3"/>
      <c r="C200" s="13"/>
      <c r="D200" s="17"/>
      <c r="E200" s="13"/>
      <c r="F200" s="13"/>
      <c r="G200" s="1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7"/>
      <c r="B201" s="3"/>
      <c r="C201" s="13"/>
      <c r="D201" s="17"/>
      <c r="E201" s="13"/>
      <c r="F201" s="13"/>
      <c r="G201" s="1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7"/>
      <c r="B202" s="3"/>
      <c r="C202" s="13"/>
      <c r="D202" s="17"/>
      <c r="E202" s="13"/>
      <c r="F202" s="13"/>
      <c r="G202" s="1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7"/>
      <c r="B203" s="3"/>
      <c r="C203" s="13"/>
      <c r="D203" s="17"/>
      <c r="E203" s="13"/>
      <c r="F203" s="13"/>
      <c r="G203" s="1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7"/>
      <c r="B204" s="3"/>
      <c r="C204" s="13"/>
      <c r="D204" s="17"/>
      <c r="E204" s="13"/>
      <c r="F204" s="13"/>
      <c r="G204" s="1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7"/>
      <c r="B205" s="3"/>
      <c r="C205" s="13"/>
      <c r="D205" s="17"/>
      <c r="E205" s="13"/>
      <c r="F205" s="13"/>
      <c r="G205" s="1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7"/>
      <c r="B206" s="3"/>
      <c r="C206" s="13"/>
      <c r="D206" s="17"/>
      <c r="E206" s="13"/>
      <c r="F206" s="13"/>
      <c r="G206" s="1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7"/>
      <c r="B207" s="3"/>
      <c r="C207" s="13"/>
      <c r="D207" s="17"/>
      <c r="E207" s="13"/>
      <c r="F207" s="13"/>
      <c r="G207" s="1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7"/>
      <c r="B208" s="3"/>
      <c r="C208" s="13"/>
      <c r="D208" s="17"/>
      <c r="E208" s="13"/>
      <c r="F208" s="13"/>
      <c r="G208" s="1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7"/>
      <c r="B209" s="3"/>
      <c r="C209" s="13"/>
      <c r="D209" s="17"/>
      <c r="E209" s="13"/>
      <c r="F209" s="13"/>
      <c r="G209" s="1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7"/>
      <c r="B210" s="3"/>
      <c r="C210" s="13"/>
      <c r="D210" s="17"/>
      <c r="E210" s="13"/>
      <c r="F210" s="13"/>
      <c r="G210" s="1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7"/>
      <c r="B211" s="3"/>
      <c r="C211" s="13"/>
      <c r="D211" s="17"/>
      <c r="E211" s="13"/>
      <c r="F211" s="13"/>
      <c r="G211" s="1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7"/>
      <c r="B212" s="3"/>
      <c r="C212" s="13"/>
      <c r="D212" s="17"/>
      <c r="E212" s="13"/>
      <c r="F212" s="13"/>
      <c r="G212" s="1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7"/>
      <c r="B213" s="3"/>
      <c r="C213" s="13"/>
      <c r="D213" s="17"/>
      <c r="E213" s="13"/>
      <c r="F213" s="13"/>
      <c r="G213" s="1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7"/>
      <c r="B214" s="3"/>
      <c r="C214" s="13"/>
      <c r="D214" s="17"/>
      <c r="E214" s="13"/>
      <c r="F214" s="13"/>
      <c r="G214" s="1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7"/>
      <c r="B215" s="3"/>
      <c r="C215" s="13"/>
      <c r="D215" s="17"/>
      <c r="E215" s="13"/>
      <c r="F215" s="13"/>
      <c r="G215" s="1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7"/>
      <c r="B216" s="3"/>
      <c r="C216" s="13"/>
      <c r="D216" s="17"/>
      <c r="E216" s="13"/>
      <c r="F216" s="13"/>
      <c r="G216" s="1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7"/>
      <c r="B217" s="3"/>
      <c r="C217" s="13"/>
      <c r="D217" s="17"/>
      <c r="E217" s="13"/>
      <c r="F217" s="13"/>
      <c r="G217" s="1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7"/>
      <c r="B218" s="3"/>
      <c r="C218" s="13"/>
      <c r="D218" s="17"/>
      <c r="E218" s="13"/>
      <c r="F218" s="13"/>
      <c r="G218" s="1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7"/>
      <c r="B219" s="3"/>
      <c r="C219" s="13"/>
      <c r="D219" s="17"/>
      <c r="E219" s="13"/>
      <c r="F219" s="13"/>
      <c r="G219" s="1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7"/>
      <c r="B220" s="3"/>
      <c r="C220" s="13"/>
      <c r="D220" s="17"/>
      <c r="E220" s="13"/>
      <c r="F220" s="13"/>
      <c r="G220" s="1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7"/>
      <c r="B221" s="3"/>
      <c r="C221" s="13"/>
      <c r="D221" s="17"/>
      <c r="E221" s="13"/>
      <c r="F221" s="13"/>
      <c r="G221" s="1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7"/>
      <c r="B222" s="3"/>
      <c r="C222" s="13"/>
      <c r="D222" s="17"/>
      <c r="E222" s="13"/>
      <c r="F222" s="13"/>
      <c r="G222" s="1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7"/>
      <c r="B223" s="3"/>
      <c r="C223" s="13"/>
      <c r="D223" s="17"/>
      <c r="E223" s="13"/>
      <c r="F223" s="13"/>
      <c r="G223" s="1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7"/>
      <c r="B224" s="3"/>
      <c r="C224" s="13"/>
      <c r="D224" s="17"/>
      <c r="E224" s="13"/>
      <c r="F224" s="13"/>
      <c r="G224" s="1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7"/>
      <c r="B225" s="3"/>
      <c r="C225" s="13"/>
      <c r="D225" s="17"/>
      <c r="E225" s="13"/>
      <c r="F225" s="13"/>
      <c r="G225" s="1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7"/>
      <c r="B226" s="3"/>
      <c r="C226" s="13"/>
      <c r="D226" s="17"/>
      <c r="E226" s="13"/>
      <c r="F226" s="13"/>
      <c r="G226" s="1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7"/>
      <c r="B227" s="3"/>
      <c r="C227" s="13"/>
      <c r="D227" s="17"/>
      <c r="E227" s="13"/>
      <c r="F227" s="13"/>
      <c r="G227" s="1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7"/>
      <c r="B228" s="3"/>
      <c r="C228" s="13"/>
      <c r="D228" s="17"/>
      <c r="E228" s="13"/>
      <c r="F228" s="13"/>
      <c r="G228" s="1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7"/>
      <c r="B229" s="3"/>
      <c r="C229" s="13"/>
      <c r="D229" s="17"/>
      <c r="E229" s="13"/>
      <c r="F229" s="13"/>
      <c r="G229" s="1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7"/>
      <c r="B230" s="3"/>
      <c r="C230" s="13"/>
      <c r="D230" s="17"/>
      <c r="E230" s="13"/>
      <c r="F230" s="13"/>
      <c r="G230" s="1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7"/>
      <c r="B231" s="3"/>
      <c r="C231" s="13"/>
      <c r="D231" s="17"/>
      <c r="E231" s="13"/>
      <c r="F231" s="13"/>
      <c r="G231" s="1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7"/>
      <c r="B232" s="3"/>
      <c r="C232" s="13"/>
      <c r="D232" s="17"/>
      <c r="E232" s="13"/>
      <c r="F232" s="13"/>
      <c r="G232" s="1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7"/>
      <c r="B233" s="3"/>
      <c r="C233" s="13"/>
      <c r="D233" s="17"/>
      <c r="E233" s="13"/>
      <c r="F233" s="13"/>
      <c r="G233" s="1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7"/>
      <c r="B234" s="3"/>
      <c r="C234" s="13"/>
      <c r="D234" s="17"/>
      <c r="E234" s="13"/>
      <c r="F234" s="13"/>
      <c r="G234" s="1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7"/>
      <c r="B235" s="3"/>
      <c r="C235" s="13"/>
      <c r="D235" s="17"/>
      <c r="E235" s="13"/>
      <c r="F235" s="13"/>
      <c r="G235" s="1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7"/>
      <c r="B236" s="3"/>
      <c r="C236" s="13"/>
      <c r="D236" s="17"/>
      <c r="E236" s="13"/>
      <c r="F236" s="13"/>
      <c r="G236" s="1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7"/>
      <c r="B237" s="3"/>
      <c r="C237" s="13"/>
      <c r="D237" s="17"/>
      <c r="E237" s="13"/>
      <c r="F237" s="13"/>
      <c r="G237" s="1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7"/>
      <c r="B238" s="3"/>
      <c r="C238" s="13"/>
      <c r="D238" s="17"/>
      <c r="E238" s="13"/>
      <c r="F238" s="13"/>
      <c r="G238" s="1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7"/>
      <c r="B239" s="3"/>
      <c r="C239" s="13"/>
      <c r="D239" s="17"/>
      <c r="E239" s="13"/>
      <c r="F239" s="13"/>
      <c r="G239" s="1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7"/>
      <c r="B240" s="3"/>
      <c r="C240" s="13"/>
      <c r="D240" s="17"/>
      <c r="E240" s="13"/>
      <c r="F240" s="13"/>
      <c r="G240" s="1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7"/>
      <c r="B241" s="3"/>
      <c r="C241" s="13"/>
      <c r="D241" s="17"/>
      <c r="E241" s="13"/>
      <c r="F241" s="13"/>
      <c r="G241" s="1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7"/>
      <c r="B242" s="3"/>
      <c r="C242" s="13"/>
      <c r="D242" s="17"/>
      <c r="E242" s="13"/>
      <c r="F242" s="13"/>
      <c r="G242" s="1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5:G5"/>
    <mergeCell ref="A6:A35"/>
    <mergeCell ref="A37:A44"/>
  </mergeCells>
  <hyperlinks>
    <hyperlink r:id="rId1" ref="D6"/>
    <hyperlink r:id="rId2" ref="D7"/>
    <hyperlink r:id="rId3" ref="D8"/>
    <hyperlink r:id="rId4" ref="D9"/>
    <hyperlink r:id="rId5" ref="D10"/>
    <hyperlink r:id="rId6" ref="D11"/>
    <hyperlink r:id="rId7" ref="D12"/>
    <hyperlink r:id="rId8" ref="D13"/>
    <hyperlink r:id="rId9" ref="D14"/>
    <hyperlink r:id="rId10" ref="D15"/>
    <hyperlink r:id="rId11" ref="D16"/>
    <hyperlink r:id="rId12" ref="D17"/>
    <hyperlink r:id="rId13" ref="D18"/>
    <hyperlink r:id="rId14" ref="D19"/>
    <hyperlink r:id="rId15" ref="D20"/>
    <hyperlink r:id="rId16" ref="D21"/>
    <hyperlink r:id="rId17" ref="D22"/>
    <hyperlink r:id="rId18" ref="D23"/>
    <hyperlink r:id="rId19" ref="D24"/>
    <hyperlink r:id="rId20" ref="D25"/>
    <hyperlink r:id="rId21" ref="D26"/>
    <hyperlink r:id="rId22" ref="D27"/>
    <hyperlink r:id="rId23" ref="D28"/>
    <hyperlink r:id="rId24" ref="D29"/>
    <hyperlink r:id="rId25" ref="D30"/>
    <hyperlink r:id="rId26" ref="D31"/>
    <hyperlink r:id="rId27" ref="D32"/>
    <hyperlink r:id="rId28" ref="D33"/>
    <hyperlink r:id="rId29" ref="D34"/>
    <hyperlink r:id="rId30" ref="D35"/>
  </hyperlinks>
  <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3.38"/>
    <col customWidth="1" min="3" max="4" width="22.88"/>
    <col customWidth="1" min="5" max="5" width="9.63"/>
    <col customWidth="1" min="6" max="6" width="15.25"/>
    <col customWidth="1" min="8" max="8" width="19.0"/>
  </cols>
  <sheetData>
    <row r="1" ht="15.75" customHeight="1">
      <c r="A1" s="1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 t="s">
        <v>219</v>
      </c>
      <c r="C2" s="38">
        <f>sum(G6:G40)</f>
        <v>38.18</v>
      </c>
      <c r="D2" s="4"/>
      <c r="E2" s="4"/>
      <c r="F2" s="4"/>
      <c r="G2" s="4"/>
      <c r="H2" s="4"/>
      <c r="I2" s="4"/>
      <c r="J2" s="4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/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/>
      <c r="J4" s="4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5" t="s">
        <v>220</v>
      </c>
      <c r="B5" s="10"/>
      <c r="C5" s="10"/>
      <c r="D5" s="10"/>
      <c r="E5" s="10"/>
      <c r="F5" s="10"/>
      <c r="G5" s="11"/>
      <c r="H5" s="2" t="s">
        <v>221</v>
      </c>
      <c r="I5" s="4"/>
      <c r="J5" s="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2" t="s">
        <v>12</v>
      </c>
      <c r="B6" s="3" t="s">
        <v>222</v>
      </c>
      <c r="C6" s="13" t="s">
        <v>22</v>
      </c>
      <c r="D6" s="14" t="s">
        <v>223</v>
      </c>
      <c r="E6" s="13">
        <v>1.0</v>
      </c>
      <c r="F6" s="15">
        <v>7.7</v>
      </c>
      <c r="G6" s="15">
        <f t="shared" ref="G6:G10" si="1">E6*F6</f>
        <v>7.7</v>
      </c>
      <c r="H6" s="3"/>
      <c r="I6" s="4"/>
      <c r="J6" s="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6"/>
      <c r="B7" s="3" t="s">
        <v>224</v>
      </c>
      <c r="C7" s="13" t="s">
        <v>225</v>
      </c>
      <c r="D7" s="14" t="s">
        <v>226</v>
      </c>
      <c r="E7" s="13">
        <v>1.0</v>
      </c>
      <c r="F7" s="15">
        <v>18.99</v>
      </c>
      <c r="G7" s="15">
        <f t="shared" si="1"/>
        <v>18.99</v>
      </c>
      <c r="H7" s="3"/>
      <c r="I7" s="4"/>
      <c r="J7" s="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9"/>
      <c r="B8" s="3" t="s">
        <v>227</v>
      </c>
      <c r="C8" s="17" t="s">
        <v>102</v>
      </c>
      <c r="D8" s="14" t="s">
        <v>103</v>
      </c>
      <c r="E8" s="13">
        <v>1.0</v>
      </c>
      <c r="F8" s="15">
        <v>11.49</v>
      </c>
      <c r="G8" s="15">
        <f t="shared" si="1"/>
        <v>11.49</v>
      </c>
      <c r="H8" s="3" t="s">
        <v>228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2" t="s">
        <v>55</v>
      </c>
      <c r="B9" s="45" t="s">
        <v>229</v>
      </c>
      <c r="C9" s="46" t="s">
        <v>62</v>
      </c>
      <c r="D9" s="47" t="s">
        <v>230</v>
      </c>
      <c r="E9" s="46">
        <v>1.0</v>
      </c>
      <c r="F9" s="46"/>
      <c r="G9" s="46">
        <f t="shared" si="1"/>
        <v>0</v>
      </c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ht="15.75" customHeight="1">
      <c r="A10" s="16"/>
      <c r="B10" s="3" t="s">
        <v>231</v>
      </c>
      <c r="C10" s="13" t="s">
        <v>62</v>
      </c>
      <c r="D10" s="17" t="s">
        <v>232</v>
      </c>
      <c r="E10" s="13">
        <v>1.0</v>
      </c>
      <c r="F10" s="13"/>
      <c r="G10" s="13">
        <f t="shared" si="1"/>
        <v>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6"/>
      <c r="B11" s="3" t="s">
        <v>233</v>
      </c>
      <c r="C11" s="13" t="s">
        <v>62</v>
      </c>
      <c r="D11" s="17" t="s">
        <v>234</v>
      </c>
      <c r="E11" s="13">
        <v>1.0</v>
      </c>
      <c r="G11" s="26">
        <v>0.0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6"/>
      <c r="B12" s="3" t="s">
        <v>235</v>
      </c>
      <c r="C12" s="13" t="s">
        <v>62</v>
      </c>
      <c r="D12" s="17" t="s">
        <v>236</v>
      </c>
      <c r="E12" s="13"/>
      <c r="F12" s="13"/>
      <c r="G12" s="13">
        <v>0.0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6"/>
      <c r="B13" s="3" t="s">
        <v>237</v>
      </c>
      <c r="C13" s="13" t="s">
        <v>62</v>
      </c>
      <c r="D13" s="17" t="s">
        <v>238</v>
      </c>
      <c r="E13" s="13">
        <v>1.0</v>
      </c>
      <c r="F13" s="13"/>
      <c r="G13" s="13">
        <f>E13*F13</f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6"/>
      <c r="D14" s="24"/>
      <c r="F14" s="13"/>
      <c r="G14" s="1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6"/>
      <c r="B15" s="3" t="s">
        <v>239</v>
      </c>
      <c r="C15" s="13" t="s">
        <v>240</v>
      </c>
      <c r="D15" s="17" t="s">
        <v>241</v>
      </c>
      <c r="E15" s="13">
        <v>1.0</v>
      </c>
      <c r="F15" s="13"/>
      <c r="G15" s="13">
        <f t="shared" ref="G15:G21" si="2">E15*F15</f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6"/>
      <c r="B16" s="3" t="s">
        <v>242</v>
      </c>
      <c r="C16" s="13" t="s">
        <v>62</v>
      </c>
      <c r="D16" s="17" t="s">
        <v>243</v>
      </c>
      <c r="E16" s="13">
        <v>1.0</v>
      </c>
      <c r="F16" s="13"/>
      <c r="G16" s="13">
        <f t="shared" si="2"/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6"/>
      <c r="B17" s="3" t="s">
        <v>244</v>
      </c>
      <c r="C17" s="13" t="s">
        <v>62</v>
      </c>
      <c r="D17" s="17" t="s">
        <v>245</v>
      </c>
      <c r="E17" s="13">
        <v>1.0</v>
      </c>
      <c r="F17" s="13"/>
      <c r="G17" s="13">
        <f t="shared" si="2"/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6"/>
      <c r="B18" s="3"/>
      <c r="C18" s="13"/>
      <c r="D18" s="17"/>
      <c r="E18" s="13"/>
      <c r="F18" s="13"/>
      <c r="G18" s="13">
        <f t="shared" si="2"/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6"/>
      <c r="B19" s="3" t="s">
        <v>246</v>
      </c>
      <c r="C19" s="13" t="s">
        <v>62</v>
      </c>
      <c r="D19" s="17" t="s">
        <v>247</v>
      </c>
      <c r="E19" s="13">
        <v>1.0</v>
      </c>
      <c r="F19" s="13"/>
      <c r="G19" s="13">
        <f t="shared" si="2"/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6"/>
      <c r="B20" s="3" t="s">
        <v>248</v>
      </c>
      <c r="C20" s="13" t="s">
        <v>62</v>
      </c>
      <c r="D20" s="17" t="s">
        <v>249</v>
      </c>
      <c r="E20" s="13">
        <v>1.0</v>
      </c>
      <c r="F20" s="13"/>
      <c r="G20" s="13">
        <f t="shared" si="2"/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9"/>
      <c r="B21" s="3" t="s">
        <v>250</v>
      </c>
      <c r="C21" s="13" t="s">
        <v>62</v>
      </c>
      <c r="D21" s="17" t="s">
        <v>251</v>
      </c>
      <c r="E21" s="13">
        <v>1.0</v>
      </c>
      <c r="F21" s="13"/>
      <c r="G21" s="13">
        <f t="shared" si="2"/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6"/>
      <c r="B22" s="3"/>
      <c r="C22" s="13"/>
      <c r="D22" s="17"/>
      <c r="E22" s="13"/>
      <c r="F22" s="13"/>
      <c r="G22" s="1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6"/>
      <c r="B23" s="3"/>
      <c r="C23" s="13"/>
      <c r="D23" s="17"/>
      <c r="E23" s="13"/>
      <c r="F23" s="13"/>
      <c r="G23" s="1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7"/>
      <c r="C24" s="13"/>
      <c r="D24" s="17"/>
      <c r="E24" s="13"/>
      <c r="F24" s="13"/>
      <c r="G24" s="1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7"/>
      <c r="C25" s="13"/>
      <c r="D25" s="17"/>
      <c r="E25" s="13"/>
      <c r="F25" s="13"/>
      <c r="G25" s="1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7"/>
      <c r="C26" s="13"/>
      <c r="D26" s="17"/>
      <c r="E26" s="13"/>
      <c r="F26" s="13"/>
      <c r="G26" s="1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7"/>
      <c r="C27" s="13"/>
      <c r="D27" s="17"/>
      <c r="E27" s="13"/>
      <c r="F27" s="13"/>
      <c r="G27" s="1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7"/>
      <c r="C28" s="13"/>
      <c r="D28" s="17"/>
      <c r="E28" s="13"/>
      <c r="F28" s="13"/>
      <c r="G28" s="1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7"/>
      <c r="C29" s="13"/>
      <c r="D29" s="17"/>
      <c r="E29" s="13"/>
      <c r="F29" s="13"/>
      <c r="G29" s="1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7"/>
      <c r="C30" s="13"/>
      <c r="D30" s="17"/>
      <c r="E30" s="13"/>
      <c r="F30" s="13"/>
      <c r="G30" s="1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7"/>
      <c r="C31" s="13"/>
      <c r="D31" s="17"/>
      <c r="E31" s="13"/>
      <c r="F31" s="13"/>
      <c r="G31" s="1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7"/>
      <c r="C32" s="13"/>
      <c r="D32" s="17"/>
      <c r="E32" s="13"/>
      <c r="F32" s="13"/>
      <c r="G32" s="1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7"/>
      <c r="B33" s="3"/>
      <c r="C33" s="13"/>
      <c r="D33" s="17"/>
      <c r="E33" s="13"/>
      <c r="F33" s="13"/>
      <c r="G33" s="1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7"/>
      <c r="B34" s="3"/>
      <c r="C34" s="13"/>
      <c r="D34" s="17"/>
      <c r="E34" s="13"/>
      <c r="F34" s="13"/>
      <c r="G34" s="1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7"/>
      <c r="B35" s="3"/>
      <c r="C35" s="13"/>
      <c r="D35" s="17"/>
      <c r="E35" s="13"/>
      <c r="F35" s="13"/>
      <c r="G35" s="1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7"/>
      <c r="B36" s="3"/>
      <c r="C36" s="13"/>
      <c r="D36" s="17"/>
      <c r="E36" s="13"/>
      <c r="F36" s="13"/>
      <c r="G36" s="1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7"/>
      <c r="B37" s="3"/>
      <c r="C37" s="13"/>
      <c r="D37" s="17"/>
      <c r="E37" s="13"/>
      <c r="F37" s="13"/>
      <c r="G37" s="1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7"/>
      <c r="B38" s="3"/>
      <c r="C38" s="13"/>
      <c r="D38" s="17"/>
      <c r="E38" s="13"/>
      <c r="F38" s="13"/>
      <c r="G38" s="1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7"/>
      <c r="B39" s="3"/>
      <c r="C39" s="13"/>
      <c r="D39" s="17"/>
      <c r="E39" s="13"/>
      <c r="F39" s="13"/>
      <c r="G39" s="1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7"/>
      <c r="B40" s="3"/>
      <c r="C40" s="13"/>
      <c r="D40" s="17"/>
      <c r="E40" s="13"/>
      <c r="F40" s="13"/>
      <c r="G40" s="1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7"/>
      <c r="B41" s="3"/>
      <c r="C41" s="13"/>
      <c r="D41" s="17"/>
      <c r="E41" s="13"/>
      <c r="F41" s="13"/>
      <c r="G41" s="1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7"/>
      <c r="B42" s="3"/>
      <c r="C42" s="13"/>
      <c r="D42" s="17"/>
      <c r="E42" s="13"/>
      <c r="F42" s="13"/>
      <c r="G42" s="1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7"/>
      <c r="B43" s="3"/>
      <c r="C43" s="13"/>
      <c r="D43" s="17"/>
      <c r="E43" s="13"/>
      <c r="F43" s="13"/>
      <c r="G43" s="1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7"/>
      <c r="B44" s="3"/>
      <c r="C44" s="13"/>
      <c r="D44" s="17"/>
      <c r="E44" s="13"/>
      <c r="F44" s="13"/>
      <c r="G44" s="1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7"/>
      <c r="B45" s="3"/>
      <c r="C45" s="13"/>
      <c r="D45" s="17"/>
      <c r="E45" s="13"/>
      <c r="F45" s="13"/>
      <c r="G45" s="1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7"/>
      <c r="B46" s="3"/>
      <c r="C46" s="13"/>
      <c r="D46" s="17"/>
      <c r="E46" s="13"/>
      <c r="F46" s="13"/>
      <c r="G46" s="1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7"/>
      <c r="B47" s="3"/>
      <c r="C47" s="13"/>
      <c r="D47" s="17"/>
      <c r="E47" s="13"/>
      <c r="F47" s="13"/>
      <c r="G47" s="1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7"/>
      <c r="B48" s="3"/>
      <c r="C48" s="13"/>
      <c r="D48" s="17"/>
      <c r="E48" s="13"/>
      <c r="F48" s="13"/>
      <c r="G48" s="1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7"/>
      <c r="B49" s="3"/>
      <c r="C49" s="13"/>
      <c r="D49" s="17"/>
      <c r="E49" s="13"/>
      <c r="F49" s="13"/>
      <c r="G49" s="1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7"/>
      <c r="B50" s="3"/>
      <c r="C50" s="13"/>
      <c r="D50" s="17"/>
      <c r="E50" s="13"/>
      <c r="F50" s="13"/>
      <c r="G50" s="1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7"/>
      <c r="B51" s="3"/>
      <c r="C51" s="13"/>
      <c r="D51" s="17"/>
      <c r="E51" s="13"/>
      <c r="F51" s="13"/>
      <c r="G51" s="1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7"/>
      <c r="B52" s="3"/>
      <c r="C52" s="13"/>
      <c r="D52" s="17"/>
      <c r="E52" s="13"/>
      <c r="F52" s="13"/>
      <c r="G52" s="1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7"/>
      <c r="B53" s="3"/>
      <c r="C53" s="13"/>
      <c r="D53" s="17"/>
      <c r="E53" s="13"/>
      <c r="F53" s="13"/>
      <c r="G53" s="1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7"/>
      <c r="B54" s="3"/>
      <c r="C54" s="13"/>
      <c r="D54" s="17"/>
      <c r="E54" s="13"/>
      <c r="F54" s="13"/>
      <c r="G54" s="1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7"/>
      <c r="B55" s="3"/>
      <c r="C55" s="13"/>
      <c r="D55" s="17"/>
      <c r="E55" s="13"/>
      <c r="F55" s="13"/>
      <c r="G55" s="1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7"/>
      <c r="B56" s="3"/>
      <c r="C56" s="13"/>
      <c r="D56" s="17"/>
      <c r="E56" s="13"/>
      <c r="F56" s="13"/>
      <c r="G56" s="1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7"/>
      <c r="B57" s="3"/>
      <c r="C57" s="13"/>
      <c r="D57" s="17"/>
      <c r="E57" s="13"/>
      <c r="F57" s="13"/>
      <c r="G57" s="1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7"/>
      <c r="B58" s="3"/>
      <c r="C58" s="13"/>
      <c r="D58" s="17"/>
      <c r="E58" s="13"/>
      <c r="F58" s="13"/>
      <c r="G58" s="1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7"/>
      <c r="B59" s="3"/>
      <c r="C59" s="13"/>
      <c r="D59" s="17"/>
      <c r="E59" s="13"/>
      <c r="F59" s="13"/>
      <c r="G59" s="1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7"/>
      <c r="B60" s="3"/>
      <c r="C60" s="13"/>
      <c r="D60" s="17"/>
      <c r="E60" s="13"/>
      <c r="F60" s="13"/>
      <c r="G60" s="1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7"/>
      <c r="B61" s="3"/>
      <c r="C61" s="13"/>
      <c r="D61" s="17"/>
      <c r="E61" s="13"/>
      <c r="F61" s="13"/>
      <c r="G61" s="1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7"/>
      <c r="B62" s="3"/>
      <c r="C62" s="13"/>
      <c r="D62" s="17"/>
      <c r="E62" s="13"/>
      <c r="F62" s="13"/>
      <c r="G62" s="1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7"/>
      <c r="B63" s="3"/>
      <c r="C63" s="13"/>
      <c r="D63" s="17"/>
      <c r="E63" s="13"/>
      <c r="F63" s="13"/>
      <c r="G63" s="1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7"/>
      <c r="B64" s="3"/>
      <c r="C64" s="13"/>
      <c r="D64" s="17"/>
      <c r="E64" s="13"/>
      <c r="F64" s="13"/>
      <c r="G64" s="1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7"/>
      <c r="B65" s="3"/>
      <c r="C65" s="13"/>
      <c r="D65" s="17"/>
      <c r="E65" s="13"/>
      <c r="F65" s="13"/>
      <c r="G65" s="1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7"/>
      <c r="B66" s="3"/>
      <c r="C66" s="13"/>
      <c r="D66" s="17"/>
      <c r="E66" s="13"/>
      <c r="F66" s="13"/>
      <c r="G66" s="1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7"/>
      <c r="B67" s="3"/>
      <c r="C67" s="13"/>
      <c r="D67" s="17"/>
      <c r="E67" s="13"/>
      <c r="F67" s="13"/>
      <c r="G67" s="1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7"/>
      <c r="B68" s="3"/>
      <c r="C68" s="13"/>
      <c r="D68" s="17"/>
      <c r="E68" s="13"/>
      <c r="F68" s="13"/>
      <c r="G68" s="1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7"/>
      <c r="B69" s="3"/>
      <c r="C69" s="13"/>
      <c r="D69" s="17"/>
      <c r="E69" s="13"/>
      <c r="F69" s="13"/>
      <c r="G69" s="1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7"/>
      <c r="B70" s="3"/>
      <c r="C70" s="13"/>
      <c r="D70" s="17"/>
      <c r="E70" s="13"/>
      <c r="F70" s="13"/>
      <c r="G70" s="1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7"/>
      <c r="B71" s="3"/>
      <c r="C71" s="13"/>
      <c r="D71" s="17"/>
      <c r="E71" s="13"/>
      <c r="F71" s="13"/>
      <c r="G71" s="1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7"/>
      <c r="B72" s="3"/>
      <c r="C72" s="13"/>
      <c r="D72" s="17"/>
      <c r="E72" s="13"/>
      <c r="F72" s="13"/>
      <c r="G72" s="1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7"/>
      <c r="B73" s="3"/>
      <c r="C73" s="13"/>
      <c r="D73" s="17"/>
      <c r="E73" s="13"/>
      <c r="F73" s="13"/>
      <c r="G73" s="1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7"/>
      <c r="B74" s="3"/>
      <c r="C74" s="13"/>
      <c r="D74" s="17"/>
      <c r="E74" s="13"/>
      <c r="F74" s="13"/>
      <c r="G74" s="1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7"/>
      <c r="B75" s="3"/>
      <c r="C75" s="13"/>
      <c r="D75" s="17"/>
      <c r="E75" s="13"/>
      <c r="F75" s="13"/>
      <c r="G75" s="1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7"/>
      <c r="B76" s="3"/>
      <c r="C76" s="13"/>
      <c r="D76" s="17"/>
      <c r="E76" s="13"/>
      <c r="F76" s="13"/>
      <c r="G76" s="1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7"/>
      <c r="B77" s="3"/>
      <c r="C77" s="13"/>
      <c r="D77" s="17"/>
      <c r="E77" s="13"/>
      <c r="F77" s="13"/>
      <c r="G77" s="1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7"/>
      <c r="B78" s="3"/>
      <c r="C78" s="13"/>
      <c r="D78" s="17"/>
      <c r="E78" s="13"/>
      <c r="F78" s="13"/>
      <c r="G78" s="1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7"/>
      <c r="B79" s="3"/>
      <c r="C79" s="13"/>
      <c r="D79" s="17"/>
      <c r="E79" s="13"/>
      <c r="F79" s="13"/>
      <c r="G79" s="1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7"/>
      <c r="B80" s="3"/>
      <c r="C80" s="13"/>
      <c r="D80" s="17"/>
      <c r="E80" s="13"/>
      <c r="F80" s="13"/>
      <c r="G80" s="1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7"/>
      <c r="B81" s="3"/>
      <c r="C81" s="13"/>
      <c r="D81" s="17"/>
      <c r="E81" s="13"/>
      <c r="F81" s="13"/>
      <c r="G81" s="1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7"/>
      <c r="B82" s="3"/>
      <c r="C82" s="13"/>
      <c r="D82" s="17"/>
      <c r="E82" s="13"/>
      <c r="F82" s="13"/>
      <c r="G82" s="1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7"/>
      <c r="B83" s="3"/>
      <c r="C83" s="13"/>
      <c r="D83" s="17"/>
      <c r="E83" s="13"/>
      <c r="F83" s="13"/>
      <c r="G83" s="1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7"/>
      <c r="B84" s="3"/>
      <c r="C84" s="13"/>
      <c r="D84" s="17"/>
      <c r="E84" s="13"/>
      <c r="F84" s="13"/>
      <c r="G84" s="1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7"/>
      <c r="B85" s="3"/>
      <c r="C85" s="13"/>
      <c r="D85" s="17"/>
      <c r="E85" s="13"/>
      <c r="F85" s="13"/>
      <c r="G85" s="1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7"/>
      <c r="B86" s="3"/>
      <c r="C86" s="13"/>
      <c r="D86" s="17"/>
      <c r="E86" s="13"/>
      <c r="F86" s="13"/>
      <c r="G86" s="1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7"/>
      <c r="B87" s="3"/>
      <c r="C87" s="13"/>
      <c r="D87" s="17"/>
      <c r="E87" s="13"/>
      <c r="F87" s="13"/>
      <c r="G87" s="1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7"/>
      <c r="B88" s="3"/>
      <c r="C88" s="13"/>
      <c r="D88" s="17"/>
      <c r="E88" s="13"/>
      <c r="F88" s="13"/>
      <c r="G88" s="1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7"/>
      <c r="B89" s="3"/>
      <c r="C89" s="13"/>
      <c r="D89" s="17"/>
      <c r="E89" s="13"/>
      <c r="F89" s="13"/>
      <c r="G89" s="1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7"/>
      <c r="B90" s="3"/>
      <c r="C90" s="13"/>
      <c r="D90" s="17"/>
      <c r="E90" s="13"/>
      <c r="F90" s="13"/>
      <c r="G90" s="1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7"/>
      <c r="B91" s="3"/>
      <c r="C91" s="13"/>
      <c r="D91" s="17"/>
      <c r="E91" s="13"/>
      <c r="F91" s="13"/>
      <c r="G91" s="1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7"/>
      <c r="B92" s="3"/>
      <c r="C92" s="13"/>
      <c r="D92" s="17"/>
      <c r="E92" s="13"/>
      <c r="F92" s="13"/>
      <c r="G92" s="1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7"/>
      <c r="B93" s="3"/>
      <c r="C93" s="13"/>
      <c r="D93" s="17"/>
      <c r="E93" s="13"/>
      <c r="F93" s="13"/>
      <c r="G93" s="1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7"/>
      <c r="B94" s="3"/>
      <c r="C94" s="13"/>
      <c r="D94" s="17"/>
      <c r="E94" s="13"/>
      <c r="F94" s="13"/>
      <c r="G94" s="1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7"/>
      <c r="B95" s="3"/>
      <c r="C95" s="13"/>
      <c r="D95" s="17"/>
      <c r="E95" s="13"/>
      <c r="F95" s="13"/>
      <c r="G95" s="1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7"/>
      <c r="B96" s="3"/>
      <c r="C96" s="13"/>
      <c r="D96" s="17"/>
      <c r="E96" s="13"/>
      <c r="F96" s="13"/>
      <c r="G96" s="1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7"/>
      <c r="B97" s="3"/>
      <c r="C97" s="13"/>
      <c r="D97" s="17"/>
      <c r="E97" s="13"/>
      <c r="F97" s="13"/>
      <c r="G97" s="1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7"/>
      <c r="B98" s="3"/>
      <c r="C98" s="13"/>
      <c r="D98" s="17"/>
      <c r="E98" s="13"/>
      <c r="F98" s="13"/>
      <c r="G98" s="1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7"/>
      <c r="B99" s="3"/>
      <c r="C99" s="13"/>
      <c r="D99" s="17"/>
      <c r="E99" s="13"/>
      <c r="F99" s="13"/>
      <c r="G99" s="1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7"/>
      <c r="B100" s="3"/>
      <c r="C100" s="13"/>
      <c r="D100" s="17"/>
      <c r="E100" s="13"/>
      <c r="F100" s="13"/>
      <c r="G100" s="1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7"/>
      <c r="B101" s="3"/>
      <c r="C101" s="13"/>
      <c r="D101" s="17"/>
      <c r="E101" s="13"/>
      <c r="F101" s="13"/>
      <c r="G101" s="1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7"/>
      <c r="B102" s="3"/>
      <c r="C102" s="13"/>
      <c r="D102" s="17"/>
      <c r="E102" s="13"/>
      <c r="F102" s="13"/>
      <c r="G102" s="1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7"/>
      <c r="B103" s="3"/>
      <c r="C103" s="13"/>
      <c r="D103" s="17"/>
      <c r="E103" s="13"/>
      <c r="F103" s="13"/>
      <c r="G103" s="1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7"/>
      <c r="B104" s="3"/>
      <c r="C104" s="13"/>
      <c r="D104" s="17"/>
      <c r="E104" s="13"/>
      <c r="F104" s="13"/>
      <c r="G104" s="1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7"/>
      <c r="B105" s="3"/>
      <c r="C105" s="13"/>
      <c r="D105" s="17"/>
      <c r="E105" s="13"/>
      <c r="F105" s="13"/>
      <c r="G105" s="1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7"/>
      <c r="B106" s="3"/>
      <c r="C106" s="13"/>
      <c r="D106" s="17"/>
      <c r="E106" s="13"/>
      <c r="F106" s="13"/>
      <c r="G106" s="1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7"/>
      <c r="B107" s="3"/>
      <c r="C107" s="13"/>
      <c r="D107" s="17"/>
      <c r="E107" s="13"/>
      <c r="F107" s="13"/>
      <c r="G107" s="1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7"/>
      <c r="B108" s="3"/>
      <c r="C108" s="13"/>
      <c r="D108" s="17"/>
      <c r="E108" s="13"/>
      <c r="F108" s="13"/>
      <c r="G108" s="1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7"/>
      <c r="B109" s="3"/>
      <c r="C109" s="13"/>
      <c r="D109" s="17"/>
      <c r="E109" s="13"/>
      <c r="F109" s="13"/>
      <c r="G109" s="1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7"/>
      <c r="B110" s="3"/>
      <c r="C110" s="13"/>
      <c r="D110" s="17"/>
      <c r="E110" s="13"/>
      <c r="F110" s="13"/>
      <c r="G110" s="1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7"/>
      <c r="B111" s="3"/>
      <c r="C111" s="13"/>
      <c r="D111" s="17"/>
      <c r="E111" s="13"/>
      <c r="F111" s="13"/>
      <c r="G111" s="1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7"/>
      <c r="B112" s="3"/>
      <c r="C112" s="13"/>
      <c r="D112" s="17"/>
      <c r="E112" s="13"/>
      <c r="F112" s="13"/>
      <c r="G112" s="1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7"/>
      <c r="B113" s="3"/>
      <c r="C113" s="13"/>
      <c r="D113" s="17"/>
      <c r="E113" s="13"/>
      <c r="F113" s="13"/>
      <c r="G113" s="1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7"/>
      <c r="B114" s="3"/>
      <c r="C114" s="13"/>
      <c r="D114" s="17"/>
      <c r="E114" s="13"/>
      <c r="F114" s="13"/>
      <c r="G114" s="1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7"/>
      <c r="B115" s="3"/>
      <c r="C115" s="13"/>
      <c r="D115" s="17"/>
      <c r="E115" s="13"/>
      <c r="F115" s="13"/>
      <c r="G115" s="1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7"/>
      <c r="B116" s="3"/>
      <c r="C116" s="13"/>
      <c r="D116" s="17"/>
      <c r="E116" s="13"/>
      <c r="F116" s="13"/>
      <c r="G116" s="1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7"/>
      <c r="B117" s="3"/>
      <c r="C117" s="13"/>
      <c r="D117" s="17"/>
      <c r="E117" s="13"/>
      <c r="F117" s="13"/>
      <c r="G117" s="1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7"/>
      <c r="B118" s="3"/>
      <c r="C118" s="13"/>
      <c r="D118" s="17"/>
      <c r="E118" s="13"/>
      <c r="F118" s="13"/>
      <c r="G118" s="1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7"/>
      <c r="B119" s="3"/>
      <c r="C119" s="13"/>
      <c r="D119" s="17"/>
      <c r="E119" s="13"/>
      <c r="F119" s="13"/>
      <c r="G119" s="1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7"/>
      <c r="B120" s="3"/>
      <c r="C120" s="13"/>
      <c r="D120" s="17"/>
      <c r="E120" s="13"/>
      <c r="F120" s="13"/>
      <c r="G120" s="1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7"/>
      <c r="B121" s="3"/>
      <c r="C121" s="13"/>
      <c r="D121" s="17"/>
      <c r="E121" s="13"/>
      <c r="F121" s="13"/>
      <c r="G121" s="1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7"/>
      <c r="B122" s="3"/>
      <c r="C122" s="13"/>
      <c r="D122" s="17"/>
      <c r="E122" s="13"/>
      <c r="F122" s="13"/>
      <c r="G122" s="1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7"/>
      <c r="B123" s="3"/>
      <c r="C123" s="13"/>
      <c r="D123" s="17"/>
      <c r="E123" s="13"/>
      <c r="F123" s="13"/>
      <c r="G123" s="1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7"/>
      <c r="B124" s="3"/>
      <c r="C124" s="13"/>
      <c r="D124" s="17"/>
      <c r="E124" s="13"/>
      <c r="F124" s="13"/>
      <c r="G124" s="1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7"/>
      <c r="B125" s="3"/>
      <c r="C125" s="13"/>
      <c r="D125" s="17"/>
      <c r="E125" s="13"/>
      <c r="F125" s="13"/>
      <c r="G125" s="1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7"/>
      <c r="B126" s="3"/>
      <c r="C126" s="13"/>
      <c r="D126" s="17"/>
      <c r="E126" s="13"/>
      <c r="F126" s="13"/>
      <c r="G126" s="1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7"/>
      <c r="B127" s="3"/>
      <c r="C127" s="13"/>
      <c r="D127" s="17"/>
      <c r="E127" s="13"/>
      <c r="F127" s="13"/>
      <c r="G127" s="1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7"/>
      <c r="B128" s="3"/>
      <c r="C128" s="13"/>
      <c r="D128" s="17"/>
      <c r="E128" s="13"/>
      <c r="F128" s="13"/>
      <c r="G128" s="1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7"/>
      <c r="B129" s="3"/>
      <c r="C129" s="13"/>
      <c r="D129" s="17"/>
      <c r="E129" s="13"/>
      <c r="F129" s="13"/>
      <c r="G129" s="1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7"/>
      <c r="B130" s="3"/>
      <c r="C130" s="13"/>
      <c r="D130" s="17"/>
      <c r="E130" s="13"/>
      <c r="F130" s="13"/>
      <c r="G130" s="1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7"/>
      <c r="B131" s="3"/>
      <c r="C131" s="13"/>
      <c r="D131" s="17"/>
      <c r="E131" s="13"/>
      <c r="F131" s="13"/>
      <c r="G131" s="1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7"/>
      <c r="B132" s="3"/>
      <c r="C132" s="13"/>
      <c r="D132" s="17"/>
      <c r="E132" s="13"/>
      <c r="F132" s="13"/>
      <c r="G132" s="1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7"/>
      <c r="B133" s="3"/>
      <c r="C133" s="13"/>
      <c r="D133" s="17"/>
      <c r="E133" s="13"/>
      <c r="F133" s="13"/>
      <c r="G133" s="1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7"/>
      <c r="B134" s="3"/>
      <c r="C134" s="13"/>
      <c r="D134" s="17"/>
      <c r="E134" s="13"/>
      <c r="F134" s="13"/>
      <c r="G134" s="1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7"/>
      <c r="B135" s="3"/>
      <c r="C135" s="13"/>
      <c r="D135" s="17"/>
      <c r="E135" s="13"/>
      <c r="F135" s="13"/>
      <c r="G135" s="1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7"/>
      <c r="B136" s="3"/>
      <c r="C136" s="13"/>
      <c r="D136" s="17"/>
      <c r="E136" s="13"/>
      <c r="F136" s="13"/>
      <c r="G136" s="1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7"/>
      <c r="B137" s="3"/>
      <c r="C137" s="13"/>
      <c r="D137" s="17"/>
      <c r="E137" s="13"/>
      <c r="F137" s="13"/>
      <c r="G137" s="1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7"/>
      <c r="B138" s="3"/>
      <c r="C138" s="13"/>
      <c r="D138" s="17"/>
      <c r="E138" s="13"/>
      <c r="F138" s="13"/>
      <c r="G138" s="1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7"/>
      <c r="B139" s="3"/>
      <c r="C139" s="13"/>
      <c r="D139" s="17"/>
      <c r="E139" s="13"/>
      <c r="F139" s="13"/>
      <c r="G139" s="1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7"/>
      <c r="B140" s="3"/>
      <c r="C140" s="13"/>
      <c r="D140" s="17"/>
      <c r="E140" s="13"/>
      <c r="F140" s="13"/>
      <c r="G140" s="1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7"/>
      <c r="B141" s="3"/>
      <c r="C141" s="13"/>
      <c r="D141" s="17"/>
      <c r="E141" s="13"/>
      <c r="F141" s="13"/>
      <c r="G141" s="1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7"/>
      <c r="B142" s="3"/>
      <c r="C142" s="13"/>
      <c r="D142" s="17"/>
      <c r="E142" s="13"/>
      <c r="F142" s="13"/>
      <c r="G142" s="1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7"/>
      <c r="B143" s="3"/>
      <c r="C143" s="13"/>
      <c r="D143" s="17"/>
      <c r="E143" s="13"/>
      <c r="F143" s="13"/>
      <c r="G143" s="1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7"/>
      <c r="B144" s="3"/>
      <c r="C144" s="13"/>
      <c r="D144" s="17"/>
      <c r="E144" s="13"/>
      <c r="F144" s="13"/>
      <c r="G144" s="1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7"/>
      <c r="B145" s="3"/>
      <c r="C145" s="13"/>
      <c r="D145" s="17"/>
      <c r="E145" s="13"/>
      <c r="F145" s="13"/>
      <c r="G145" s="1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7"/>
      <c r="B146" s="3"/>
      <c r="C146" s="13"/>
      <c r="D146" s="17"/>
      <c r="E146" s="13"/>
      <c r="F146" s="13"/>
      <c r="G146" s="1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7"/>
      <c r="B147" s="3"/>
      <c r="C147" s="13"/>
      <c r="D147" s="17"/>
      <c r="E147" s="13"/>
      <c r="F147" s="13"/>
      <c r="G147" s="1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7"/>
      <c r="B148" s="3"/>
      <c r="C148" s="13"/>
      <c r="D148" s="17"/>
      <c r="E148" s="13"/>
      <c r="F148" s="13"/>
      <c r="G148" s="1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7"/>
      <c r="B149" s="3"/>
      <c r="C149" s="13"/>
      <c r="D149" s="17"/>
      <c r="E149" s="13"/>
      <c r="F149" s="13"/>
      <c r="G149" s="1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7"/>
      <c r="B150" s="3"/>
      <c r="C150" s="13"/>
      <c r="D150" s="17"/>
      <c r="E150" s="13"/>
      <c r="F150" s="13"/>
      <c r="G150" s="1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7"/>
      <c r="B151" s="3"/>
      <c r="C151" s="13"/>
      <c r="D151" s="17"/>
      <c r="E151" s="13"/>
      <c r="F151" s="13"/>
      <c r="G151" s="1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7"/>
      <c r="B152" s="3"/>
      <c r="C152" s="13"/>
      <c r="D152" s="17"/>
      <c r="E152" s="13"/>
      <c r="F152" s="13"/>
      <c r="G152" s="1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7"/>
      <c r="B153" s="3"/>
      <c r="C153" s="13"/>
      <c r="D153" s="17"/>
      <c r="E153" s="13"/>
      <c r="F153" s="13"/>
      <c r="G153" s="1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7"/>
      <c r="B154" s="3"/>
      <c r="C154" s="13"/>
      <c r="D154" s="17"/>
      <c r="E154" s="13"/>
      <c r="F154" s="13"/>
      <c r="G154" s="1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7"/>
      <c r="B155" s="3"/>
      <c r="C155" s="13"/>
      <c r="D155" s="17"/>
      <c r="E155" s="13"/>
      <c r="F155" s="13"/>
      <c r="G155" s="1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7"/>
      <c r="B156" s="3"/>
      <c r="C156" s="13"/>
      <c r="D156" s="17"/>
      <c r="E156" s="13"/>
      <c r="F156" s="13"/>
      <c r="G156" s="1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7"/>
      <c r="B157" s="3"/>
      <c r="C157" s="13"/>
      <c r="D157" s="17"/>
      <c r="E157" s="13"/>
      <c r="F157" s="13"/>
      <c r="G157" s="1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7"/>
      <c r="B158" s="3"/>
      <c r="C158" s="13"/>
      <c r="D158" s="17"/>
      <c r="E158" s="13"/>
      <c r="F158" s="13"/>
      <c r="G158" s="1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7"/>
      <c r="B159" s="3"/>
      <c r="C159" s="13"/>
      <c r="D159" s="17"/>
      <c r="E159" s="13"/>
      <c r="F159" s="13"/>
      <c r="G159" s="1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7"/>
      <c r="B160" s="3"/>
      <c r="C160" s="13"/>
      <c r="D160" s="17"/>
      <c r="E160" s="13"/>
      <c r="F160" s="13"/>
      <c r="G160" s="1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7"/>
      <c r="B161" s="3"/>
      <c r="C161" s="13"/>
      <c r="D161" s="17"/>
      <c r="E161" s="13"/>
      <c r="F161" s="13"/>
      <c r="G161" s="1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7"/>
      <c r="B162" s="3"/>
      <c r="C162" s="13"/>
      <c r="D162" s="17"/>
      <c r="E162" s="13"/>
      <c r="F162" s="13"/>
      <c r="G162" s="1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7"/>
      <c r="B163" s="3"/>
      <c r="C163" s="13"/>
      <c r="D163" s="17"/>
      <c r="E163" s="13"/>
      <c r="F163" s="13"/>
      <c r="G163" s="1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7"/>
      <c r="B164" s="3"/>
      <c r="C164" s="13"/>
      <c r="D164" s="17"/>
      <c r="E164" s="13"/>
      <c r="F164" s="13"/>
      <c r="G164" s="1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7"/>
      <c r="B165" s="3"/>
      <c r="C165" s="13"/>
      <c r="D165" s="17"/>
      <c r="E165" s="13"/>
      <c r="F165" s="13"/>
      <c r="G165" s="1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7"/>
      <c r="B166" s="3"/>
      <c r="C166" s="13"/>
      <c r="D166" s="17"/>
      <c r="E166" s="13"/>
      <c r="F166" s="13"/>
      <c r="G166" s="1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7"/>
      <c r="B167" s="3"/>
      <c r="C167" s="13"/>
      <c r="D167" s="17"/>
      <c r="E167" s="13"/>
      <c r="F167" s="13"/>
      <c r="G167" s="1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7"/>
      <c r="B168" s="3"/>
      <c r="C168" s="13"/>
      <c r="D168" s="17"/>
      <c r="E168" s="13"/>
      <c r="F168" s="13"/>
      <c r="G168" s="1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7"/>
      <c r="B169" s="3"/>
      <c r="C169" s="13"/>
      <c r="D169" s="17"/>
      <c r="E169" s="13"/>
      <c r="F169" s="13"/>
      <c r="G169" s="1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7"/>
      <c r="B170" s="3"/>
      <c r="C170" s="13"/>
      <c r="D170" s="17"/>
      <c r="E170" s="13"/>
      <c r="F170" s="13"/>
      <c r="G170" s="1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7"/>
      <c r="B171" s="3"/>
      <c r="C171" s="13"/>
      <c r="D171" s="17"/>
      <c r="E171" s="13"/>
      <c r="F171" s="13"/>
      <c r="G171" s="1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7"/>
      <c r="B172" s="3"/>
      <c r="C172" s="13"/>
      <c r="D172" s="17"/>
      <c r="E172" s="13"/>
      <c r="F172" s="13"/>
      <c r="G172" s="1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7"/>
      <c r="B173" s="3"/>
      <c r="C173" s="13"/>
      <c r="D173" s="17"/>
      <c r="E173" s="13"/>
      <c r="F173" s="13"/>
      <c r="G173" s="1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7"/>
      <c r="B174" s="3"/>
      <c r="C174" s="13"/>
      <c r="D174" s="17"/>
      <c r="E174" s="13"/>
      <c r="F174" s="13"/>
      <c r="G174" s="1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7"/>
      <c r="B175" s="3"/>
      <c r="C175" s="13"/>
      <c r="D175" s="17"/>
      <c r="E175" s="13"/>
      <c r="F175" s="13"/>
      <c r="G175" s="1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7"/>
      <c r="B176" s="3"/>
      <c r="C176" s="13"/>
      <c r="D176" s="17"/>
      <c r="E176" s="13"/>
      <c r="F176" s="13"/>
      <c r="G176" s="1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7"/>
      <c r="B177" s="3"/>
      <c r="C177" s="13"/>
      <c r="D177" s="17"/>
      <c r="E177" s="13"/>
      <c r="F177" s="13"/>
      <c r="G177" s="1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7"/>
      <c r="B178" s="3"/>
      <c r="C178" s="13"/>
      <c r="D178" s="17"/>
      <c r="E178" s="13"/>
      <c r="F178" s="13"/>
      <c r="G178" s="1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7"/>
      <c r="B179" s="3"/>
      <c r="C179" s="13"/>
      <c r="D179" s="17"/>
      <c r="E179" s="13"/>
      <c r="F179" s="13"/>
      <c r="G179" s="1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7"/>
      <c r="B180" s="3"/>
      <c r="C180" s="13"/>
      <c r="D180" s="17"/>
      <c r="E180" s="13"/>
      <c r="F180" s="13"/>
      <c r="G180" s="1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7"/>
      <c r="B181" s="3"/>
      <c r="C181" s="13"/>
      <c r="D181" s="17"/>
      <c r="E181" s="13"/>
      <c r="F181" s="13"/>
      <c r="G181" s="1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7"/>
      <c r="B182" s="3"/>
      <c r="C182" s="13"/>
      <c r="D182" s="17"/>
      <c r="E182" s="13"/>
      <c r="F182" s="13"/>
      <c r="G182" s="1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7"/>
      <c r="B183" s="3"/>
      <c r="C183" s="13"/>
      <c r="D183" s="17"/>
      <c r="E183" s="13"/>
      <c r="F183" s="13"/>
      <c r="G183" s="1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7"/>
      <c r="B184" s="3"/>
      <c r="C184" s="13"/>
      <c r="D184" s="17"/>
      <c r="E184" s="13"/>
      <c r="F184" s="13"/>
      <c r="G184" s="1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7"/>
      <c r="B185" s="3"/>
      <c r="C185" s="13"/>
      <c r="D185" s="17"/>
      <c r="E185" s="13"/>
      <c r="F185" s="13"/>
      <c r="G185" s="1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7"/>
      <c r="B186" s="3"/>
      <c r="C186" s="13"/>
      <c r="D186" s="17"/>
      <c r="E186" s="13"/>
      <c r="F186" s="13"/>
      <c r="G186" s="1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7"/>
      <c r="B187" s="3"/>
      <c r="C187" s="13"/>
      <c r="D187" s="17"/>
      <c r="E187" s="13"/>
      <c r="F187" s="13"/>
      <c r="G187" s="1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7"/>
      <c r="B188" s="3"/>
      <c r="C188" s="13"/>
      <c r="D188" s="17"/>
      <c r="E188" s="13"/>
      <c r="F188" s="13"/>
      <c r="G188" s="1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7"/>
      <c r="B189" s="3"/>
      <c r="C189" s="13"/>
      <c r="D189" s="17"/>
      <c r="E189" s="13"/>
      <c r="F189" s="13"/>
      <c r="G189" s="1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7"/>
      <c r="B190" s="3"/>
      <c r="C190" s="13"/>
      <c r="D190" s="17"/>
      <c r="E190" s="13"/>
      <c r="F190" s="13"/>
      <c r="G190" s="1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7"/>
      <c r="B191" s="3"/>
      <c r="C191" s="13"/>
      <c r="D191" s="17"/>
      <c r="E191" s="13"/>
      <c r="F191" s="13"/>
      <c r="G191" s="1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7"/>
      <c r="B192" s="3"/>
      <c r="C192" s="13"/>
      <c r="D192" s="17"/>
      <c r="E192" s="13"/>
      <c r="F192" s="13"/>
      <c r="G192" s="1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7"/>
      <c r="B193" s="3"/>
      <c r="C193" s="13"/>
      <c r="D193" s="17"/>
      <c r="E193" s="13"/>
      <c r="F193" s="13"/>
      <c r="G193" s="1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7"/>
      <c r="B194" s="3"/>
      <c r="C194" s="13"/>
      <c r="D194" s="17"/>
      <c r="E194" s="13"/>
      <c r="F194" s="13"/>
      <c r="G194" s="1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7"/>
      <c r="B195" s="3"/>
      <c r="C195" s="13"/>
      <c r="D195" s="17"/>
      <c r="E195" s="13"/>
      <c r="F195" s="13"/>
      <c r="G195" s="1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7"/>
      <c r="B196" s="3"/>
      <c r="C196" s="13"/>
      <c r="D196" s="17"/>
      <c r="E196" s="13"/>
      <c r="F196" s="13"/>
      <c r="G196" s="1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7"/>
      <c r="B197" s="3"/>
      <c r="C197" s="13"/>
      <c r="D197" s="17"/>
      <c r="E197" s="13"/>
      <c r="F197" s="13"/>
      <c r="G197" s="1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7"/>
      <c r="B198" s="3"/>
      <c r="C198" s="13"/>
      <c r="D198" s="17"/>
      <c r="E198" s="13"/>
      <c r="F198" s="13"/>
      <c r="G198" s="1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7"/>
      <c r="B199" s="3"/>
      <c r="C199" s="13"/>
      <c r="D199" s="17"/>
      <c r="E199" s="13"/>
      <c r="F199" s="13"/>
      <c r="G199" s="1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7"/>
      <c r="B200" s="3"/>
      <c r="C200" s="13"/>
      <c r="D200" s="17"/>
      <c r="E200" s="13"/>
      <c r="F200" s="13"/>
      <c r="G200" s="1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7"/>
      <c r="B201" s="3"/>
      <c r="C201" s="13"/>
      <c r="D201" s="17"/>
      <c r="E201" s="13"/>
      <c r="F201" s="13"/>
      <c r="G201" s="1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7"/>
      <c r="B202" s="3"/>
      <c r="C202" s="13"/>
      <c r="D202" s="17"/>
      <c r="E202" s="13"/>
      <c r="F202" s="13"/>
      <c r="G202" s="1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7"/>
      <c r="B203" s="3"/>
      <c r="C203" s="13"/>
      <c r="D203" s="17"/>
      <c r="E203" s="13"/>
      <c r="F203" s="13"/>
      <c r="G203" s="1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7"/>
      <c r="B204" s="3"/>
      <c r="C204" s="13"/>
      <c r="D204" s="17"/>
      <c r="E204" s="13"/>
      <c r="F204" s="13"/>
      <c r="G204" s="1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7"/>
      <c r="B205" s="3"/>
      <c r="C205" s="13"/>
      <c r="D205" s="17"/>
      <c r="E205" s="13"/>
      <c r="F205" s="13"/>
      <c r="G205" s="1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7"/>
      <c r="B206" s="3"/>
      <c r="C206" s="13"/>
      <c r="D206" s="17"/>
      <c r="E206" s="13"/>
      <c r="F206" s="13"/>
      <c r="G206" s="1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7"/>
      <c r="B207" s="3"/>
      <c r="C207" s="13"/>
      <c r="D207" s="17"/>
      <c r="E207" s="13"/>
      <c r="F207" s="13"/>
      <c r="G207" s="1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7"/>
      <c r="B208" s="3"/>
      <c r="C208" s="13"/>
      <c r="D208" s="17"/>
      <c r="E208" s="13"/>
      <c r="F208" s="13"/>
      <c r="G208" s="1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7"/>
      <c r="B209" s="3"/>
      <c r="C209" s="13"/>
      <c r="D209" s="17"/>
      <c r="E209" s="13"/>
      <c r="F209" s="13"/>
      <c r="G209" s="1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7"/>
      <c r="B210" s="3"/>
      <c r="C210" s="13"/>
      <c r="D210" s="17"/>
      <c r="E210" s="13"/>
      <c r="F210" s="13"/>
      <c r="G210" s="1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7"/>
      <c r="B211" s="3"/>
      <c r="C211" s="13"/>
      <c r="D211" s="17"/>
      <c r="E211" s="13"/>
      <c r="F211" s="13"/>
      <c r="G211" s="1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7"/>
      <c r="B212" s="3"/>
      <c r="C212" s="13"/>
      <c r="D212" s="17"/>
      <c r="E212" s="13"/>
      <c r="F212" s="13"/>
      <c r="G212" s="1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7"/>
      <c r="B213" s="3"/>
      <c r="C213" s="13"/>
      <c r="D213" s="17"/>
      <c r="E213" s="13"/>
      <c r="F213" s="13"/>
      <c r="G213" s="1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7"/>
      <c r="B214" s="3"/>
      <c r="C214" s="13"/>
      <c r="D214" s="17"/>
      <c r="E214" s="13"/>
      <c r="F214" s="13"/>
      <c r="G214" s="1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7"/>
      <c r="B215" s="3"/>
      <c r="C215" s="13"/>
      <c r="D215" s="17"/>
      <c r="E215" s="13"/>
      <c r="F215" s="13"/>
      <c r="G215" s="1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7"/>
      <c r="B216" s="3"/>
      <c r="C216" s="13"/>
      <c r="D216" s="17"/>
      <c r="E216" s="13"/>
      <c r="F216" s="13"/>
      <c r="G216" s="1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7"/>
      <c r="B217" s="3"/>
      <c r="C217" s="13"/>
      <c r="D217" s="17"/>
      <c r="E217" s="13"/>
      <c r="F217" s="13"/>
      <c r="G217" s="1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7"/>
      <c r="B218" s="3"/>
      <c r="C218" s="13"/>
      <c r="D218" s="17"/>
      <c r="E218" s="13"/>
      <c r="F218" s="13"/>
      <c r="G218" s="1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7"/>
      <c r="B219" s="3"/>
      <c r="C219" s="13"/>
      <c r="D219" s="17"/>
      <c r="E219" s="13"/>
      <c r="F219" s="13"/>
      <c r="G219" s="1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7"/>
      <c r="B220" s="3"/>
      <c r="C220" s="13"/>
      <c r="D220" s="17"/>
      <c r="E220" s="13"/>
      <c r="F220" s="13"/>
      <c r="G220" s="1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7"/>
      <c r="B221" s="3"/>
      <c r="C221" s="13"/>
      <c r="D221" s="17"/>
      <c r="E221" s="13"/>
      <c r="F221" s="13"/>
      <c r="G221" s="1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5:G5"/>
    <mergeCell ref="A6:A8"/>
    <mergeCell ref="A9:A21"/>
  </mergeCells>
  <hyperlinks>
    <hyperlink r:id="rId1" ref="D6"/>
    <hyperlink r:id="rId2" ref="D7"/>
    <hyperlink r:id="rId3" ref="D8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3.38"/>
    <col customWidth="1" min="3" max="4" width="22.88"/>
    <col customWidth="1" min="5" max="5" width="9.63"/>
    <col customWidth="1" min="6" max="6" width="15.25"/>
    <col customWidth="1" min="8" max="8" width="19.0"/>
  </cols>
  <sheetData>
    <row r="1" ht="15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 t="s">
        <v>252</v>
      </c>
      <c r="C2" s="8">
        <f>sum(G6:G40)</f>
        <v>406.76</v>
      </c>
      <c r="D2" s="4"/>
      <c r="E2" s="4"/>
      <c r="F2" s="4"/>
      <c r="G2" s="4"/>
      <c r="H2" s="4"/>
      <c r="I2" s="4"/>
      <c r="J2" s="4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/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/>
      <c r="J4" s="4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9" t="s">
        <v>253</v>
      </c>
      <c r="B5" s="10"/>
      <c r="C5" s="10"/>
      <c r="D5" s="10"/>
      <c r="E5" s="10"/>
      <c r="F5" s="10"/>
      <c r="G5" s="11"/>
      <c r="H5" s="2" t="s">
        <v>122</v>
      </c>
      <c r="I5" s="4"/>
      <c r="J5" s="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2" t="s">
        <v>254</v>
      </c>
      <c r="B6" s="3" t="s">
        <v>255</v>
      </c>
      <c r="C6" s="13" t="s">
        <v>256</v>
      </c>
      <c r="D6" s="14" t="s">
        <v>257</v>
      </c>
      <c r="E6" s="13">
        <v>2.0</v>
      </c>
      <c r="F6" s="15">
        <v>9.98</v>
      </c>
      <c r="G6" s="15">
        <f t="shared" ref="G6:G15" si="1">E6*F6</f>
        <v>19.96</v>
      </c>
      <c r="H6" s="3"/>
      <c r="I6" s="4"/>
      <c r="J6" s="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6"/>
      <c r="B7" s="3" t="s">
        <v>258</v>
      </c>
      <c r="C7" s="13" t="s">
        <v>256</v>
      </c>
      <c r="D7" s="14" t="s">
        <v>259</v>
      </c>
      <c r="E7" s="13">
        <v>1.0</v>
      </c>
      <c r="F7" s="15">
        <v>9.99</v>
      </c>
      <c r="G7" s="15">
        <f t="shared" si="1"/>
        <v>9.99</v>
      </c>
      <c r="H7" s="3"/>
      <c r="I7" s="4"/>
      <c r="J7" s="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6"/>
      <c r="B8" s="3" t="s">
        <v>260</v>
      </c>
      <c r="C8" s="13" t="s">
        <v>256</v>
      </c>
      <c r="D8" s="14" t="s">
        <v>261</v>
      </c>
      <c r="E8" s="13">
        <v>1.0</v>
      </c>
      <c r="F8" s="15">
        <v>9.98</v>
      </c>
      <c r="G8" s="15">
        <f t="shared" si="1"/>
        <v>9.98</v>
      </c>
      <c r="H8" s="3"/>
      <c r="I8" s="4"/>
      <c r="J8" s="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6"/>
      <c r="B9" s="3" t="s">
        <v>262</v>
      </c>
      <c r="C9" s="13"/>
      <c r="D9" s="17"/>
      <c r="E9" s="13"/>
      <c r="F9" s="13"/>
      <c r="G9" s="13">
        <f t="shared" si="1"/>
        <v>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6"/>
      <c r="B10" s="3"/>
      <c r="C10" s="13"/>
      <c r="D10" s="17"/>
      <c r="E10" s="13"/>
      <c r="F10" s="13"/>
      <c r="G10" s="13">
        <f t="shared" si="1"/>
        <v>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6"/>
      <c r="B11" s="3" t="s">
        <v>263</v>
      </c>
      <c r="C11" s="13" t="s">
        <v>264</v>
      </c>
      <c r="D11" s="14" t="s">
        <v>265</v>
      </c>
      <c r="E11" s="13">
        <v>2.0</v>
      </c>
      <c r="F11" s="40">
        <v>149.0</v>
      </c>
      <c r="G11" s="40">
        <f t="shared" si="1"/>
        <v>298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6"/>
      <c r="B12" s="20" t="s">
        <v>266</v>
      </c>
      <c r="C12" s="21" t="s">
        <v>267</v>
      </c>
      <c r="D12" s="22" t="s">
        <v>268</v>
      </c>
      <c r="E12" s="21">
        <v>2.0</v>
      </c>
      <c r="F12" s="23">
        <v>19.99</v>
      </c>
      <c r="G12" s="23">
        <f t="shared" si="1"/>
        <v>39.98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6" t="s">
        <v>269</v>
      </c>
      <c r="B13" s="3" t="s">
        <v>270</v>
      </c>
      <c r="C13" s="13" t="s">
        <v>271</v>
      </c>
      <c r="D13" s="14">
        <v>7.4039595E7</v>
      </c>
      <c r="E13" s="13">
        <v>1.0</v>
      </c>
      <c r="F13" s="15">
        <v>18.67</v>
      </c>
      <c r="G13" s="15">
        <f t="shared" si="1"/>
        <v>18.67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6"/>
      <c r="B14" s="3" t="s">
        <v>272</v>
      </c>
      <c r="C14" s="13" t="s">
        <v>22</v>
      </c>
      <c r="D14" s="14" t="s">
        <v>273</v>
      </c>
      <c r="E14" s="13">
        <v>1.0</v>
      </c>
      <c r="F14" s="15">
        <v>0.25</v>
      </c>
      <c r="G14" s="15">
        <f t="shared" si="1"/>
        <v>0.25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9"/>
      <c r="B15" s="3" t="s">
        <v>274</v>
      </c>
      <c r="C15" s="13" t="s">
        <v>275</v>
      </c>
      <c r="D15" s="14">
        <v>12591.0</v>
      </c>
      <c r="E15" s="13">
        <v>1.0</v>
      </c>
      <c r="F15" s="15">
        <v>9.93</v>
      </c>
      <c r="G15" s="15">
        <f t="shared" si="1"/>
        <v>9.93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2"/>
      <c r="C16" s="3"/>
      <c r="D16" s="17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2"/>
      <c r="C17" s="3"/>
      <c r="D17" s="17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"/>
      <c r="C18" s="13"/>
      <c r="D18" s="17"/>
      <c r="E18" s="13"/>
      <c r="F18" s="13"/>
      <c r="G18" s="1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2"/>
      <c r="C19" s="13"/>
      <c r="D19" s="17"/>
      <c r="E19" s="13"/>
      <c r="F19" s="13"/>
      <c r="G19" s="1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2"/>
      <c r="C20" s="13"/>
      <c r="D20" s="17"/>
      <c r="E20" s="13"/>
      <c r="F20" s="13"/>
      <c r="G20" s="1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/>
      <c r="C21" s="13"/>
      <c r="D21" s="17"/>
      <c r="E21" s="13"/>
      <c r="F21" s="13"/>
      <c r="G21" s="1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/>
      <c r="C22" s="13"/>
      <c r="D22" s="17"/>
      <c r="E22" s="13"/>
      <c r="F22" s="13"/>
      <c r="G22" s="1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/>
      <c r="C23" s="13"/>
      <c r="D23" s="17"/>
      <c r="E23" s="13"/>
      <c r="F23" s="13"/>
      <c r="G23" s="1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/>
      <c r="C24" s="13"/>
      <c r="D24" s="17"/>
      <c r="E24" s="13"/>
      <c r="F24" s="13"/>
      <c r="G24" s="1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/>
      <c r="C25" s="13"/>
      <c r="D25" s="17"/>
      <c r="E25" s="13"/>
      <c r="F25" s="13"/>
      <c r="G25" s="1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/>
      <c r="C26" s="13"/>
      <c r="D26" s="17"/>
      <c r="E26" s="13"/>
      <c r="F26" s="13"/>
      <c r="G26" s="1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/>
      <c r="C27" s="13"/>
      <c r="D27" s="17"/>
      <c r="E27" s="13"/>
      <c r="F27" s="13"/>
      <c r="G27" s="1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/>
      <c r="C28" s="13"/>
      <c r="D28" s="17"/>
      <c r="E28" s="13"/>
      <c r="F28" s="13"/>
      <c r="G28" s="1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/>
      <c r="B29" s="3"/>
      <c r="C29" s="13"/>
      <c r="D29" s="17"/>
      <c r="E29" s="13"/>
      <c r="F29" s="13"/>
      <c r="G29" s="1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/>
      <c r="B30" s="3"/>
      <c r="C30" s="13"/>
      <c r="D30" s="17"/>
      <c r="E30" s="13"/>
      <c r="F30" s="13"/>
      <c r="G30" s="1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/>
      <c r="B31" s="3"/>
      <c r="C31" s="13"/>
      <c r="D31" s="17"/>
      <c r="E31" s="13"/>
      <c r="F31" s="13"/>
      <c r="G31" s="1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/>
      <c r="B32" s="3"/>
      <c r="C32" s="13"/>
      <c r="D32" s="17"/>
      <c r="E32" s="13"/>
      <c r="F32" s="13"/>
      <c r="G32" s="1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/>
      <c r="B33" s="3"/>
      <c r="C33" s="13"/>
      <c r="D33" s="17"/>
      <c r="E33" s="13"/>
      <c r="F33" s="13"/>
      <c r="G33" s="1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/>
      <c r="B34" s="3"/>
      <c r="C34" s="13"/>
      <c r="D34" s="17"/>
      <c r="E34" s="13"/>
      <c r="F34" s="13"/>
      <c r="G34" s="1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3"/>
      <c r="C35" s="13"/>
      <c r="D35" s="17"/>
      <c r="E35" s="13"/>
      <c r="F35" s="13"/>
      <c r="G35" s="1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/>
      <c r="B36" s="3"/>
      <c r="C36" s="13"/>
      <c r="D36" s="17"/>
      <c r="E36" s="13"/>
      <c r="F36" s="13"/>
      <c r="G36" s="1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/>
      <c r="B37" s="3"/>
      <c r="C37" s="13"/>
      <c r="D37" s="17"/>
      <c r="E37" s="13"/>
      <c r="F37" s="13"/>
      <c r="G37" s="1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/>
      <c r="B38" s="3"/>
      <c r="C38" s="13"/>
      <c r="D38" s="17"/>
      <c r="E38" s="13"/>
      <c r="F38" s="13"/>
      <c r="G38" s="1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/>
      <c r="B39" s="3"/>
      <c r="C39" s="13"/>
      <c r="D39" s="17"/>
      <c r="E39" s="13"/>
      <c r="F39" s="13"/>
      <c r="G39" s="1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/>
      <c r="B40" s="3"/>
      <c r="C40" s="13"/>
      <c r="D40" s="17"/>
      <c r="E40" s="13"/>
      <c r="F40" s="13"/>
      <c r="G40" s="1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3"/>
      <c r="C41" s="13"/>
      <c r="D41" s="17"/>
      <c r="E41" s="13"/>
      <c r="F41" s="13"/>
      <c r="G41" s="1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3"/>
      <c r="C42" s="13"/>
      <c r="D42" s="17"/>
      <c r="E42" s="13"/>
      <c r="F42" s="13"/>
      <c r="G42" s="1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3"/>
      <c r="C43" s="13"/>
      <c r="D43" s="17"/>
      <c r="E43" s="13"/>
      <c r="F43" s="13"/>
      <c r="G43" s="1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3"/>
      <c r="C44" s="13"/>
      <c r="D44" s="17"/>
      <c r="E44" s="13"/>
      <c r="F44" s="13"/>
      <c r="G44" s="1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3"/>
      <c r="C45" s="13"/>
      <c r="D45" s="17"/>
      <c r="E45" s="13"/>
      <c r="F45" s="13"/>
      <c r="G45" s="1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3"/>
      <c r="C46" s="13"/>
      <c r="D46" s="17"/>
      <c r="E46" s="13"/>
      <c r="F46" s="13"/>
      <c r="G46" s="1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/>
      <c r="B47" s="3"/>
      <c r="C47" s="13"/>
      <c r="D47" s="17"/>
      <c r="E47" s="13"/>
      <c r="F47" s="13"/>
      <c r="G47" s="1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/>
      <c r="B48" s="3"/>
      <c r="C48" s="13"/>
      <c r="D48" s="17"/>
      <c r="E48" s="13"/>
      <c r="F48" s="13"/>
      <c r="G48" s="1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3"/>
      <c r="C49" s="13"/>
      <c r="D49" s="17"/>
      <c r="E49" s="13"/>
      <c r="F49" s="13"/>
      <c r="G49" s="1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3"/>
      <c r="C50" s="13"/>
      <c r="D50" s="17"/>
      <c r="E50" s="13"/>
      <c r="F50" s="13"/>
      <c r="G50" s="1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3"/>
      <c r="C51" s="13"/>
      <c r="D51" s="17"/>
      <c r="E51" s="13"/>
      <c r="F51" s="13"/>
      <c r="G51" s="1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3"/>
      <c r="C52" s="13"/>
      <c r="D52" s="17"/>
      <c r="E52" s="13"/>
      <c r="F52" s="13"/>
      <c r="G52" s="1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3"/>
      <c r="C53" s="13"/>
      <c r="D53" s="17"/>
      <c r="E53" s="13"/>
      <c r="F53" s="13"/>
      <c r="G53" s="1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3"/>
      <c r="C54" s="13"/>
      <c r="D54" s="17"/>
      <c r="E54" s="13"/>
      <c r="F54" s="13"/>
      <c r="G54" s="1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3"/>
      <c r="C55" s="13"/>
      <c r="D55" s="17"/>
      <c r="E55" s="13"/>
      <c r="F55" s="13"/>
      <c r="G55" s="1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3"/>
      <c r="C56" s="13"/>
      <c r="D56" s="17"/>
      <c r="E56" s="13"/>
      <c r="F56" s="13"/>
      <c r="G56" s="1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3"/>
      <c r="C57" s="13"/>
      <c r="D57" s="17"/>
      <c r="E57" s="13"/>
      <c r="F57" s="13"/>
      <c r="G57" s="1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3"/>
      <c r="C58" s="13"/>
      <c r="D58" s="17"/>
      <c r="E58" s="13"/>
      <c r="F58" s="13"/>
      <c r="G58" s="1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3"/>
      <c r="C59" s="13"/>
      <c r="D59" s="17"/>
      <c r="E59" s="13"/>
      <c r="F59" s="13"/>
      <c r="G59" s="1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3"/>
      <c r="C60" s="13"/>
      <c r="D60" s="17"/>
      <c r="E60" s="13"/>
      <c r="F60" s="13"/>
      <c r="G60" s="1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3"/>
      <c r="C61" s="13"/>
      <c r="D61" s="17"/>
      <c r="E61" s="13"/>
      <c r="F61" s="13"/>
      <c r="G61" s="1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/>
      <c r="B62" s="3"/>
      <c r="C62" s="13"/>
      <c r="D62" s="17"/>
      <c r="E62" s="13"/>
      <c r="F62" s="13"/>
      <c r="G62" s="1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/>
      <c r="B63" s="3"/>
      <c r="C63" s="13"/>
      <c r="D63" s="17"/>
      <c r="E63" s="13"/>
      <c r="F63" s="13"/>
      <c r="G63" s="1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/>
      <c r="B64" s="3"/>
      <c r="C64" s="13"/>
      <c r="D64" s="17"/>
      <c r="E64" s="13"/>
      <c r="F64" s="13"/>
      <c r="G64" s="1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/>
      <c r="B65" s="3"/>
      <c r="C65" s="13"/>
      <c r="D65" s="17"/>
      <c r="E65" s="13"/>
      <c r="F65" s="13"/>
      <c r="G65" s="1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/>
      <c r="B66" s="3"/>
      <c r="C66" s="13"/>
      <c r="D66" s="17"/>
      <c r="E66" s="13"/>
      <c r="F66" s="13"/>
      <c r="G66" s="1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/>
      <c r="B67" s="3"/>
      <c r="C67" s="13"/>
      <c r="D67" s="17"/>
      <c r="E67" s="13"/>
      <c r="F67" s="13"/>
      <c r="G67" s="1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/>
      <c r="B68" s="3"/>
      <c r="C68" s="13"/>
      <c r="D68" s="17"/>
      <c r="E68" s="13"/>
      <c r="F68" s="13"/>
      <c r="G68" s="1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/>
      <c r="B69" s="3"/>
      <c r="C69" s="13"/>
      <c r="D69" s="17"/>
      <c r="E69" s="13"/>
      <c r="F69" s="13"/>
      <c r="G69" s="1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/>
      <c r="B70" s="3"/>
      <c r="C70" s="13"/>
      <c r="D70" s="17"/>
      <c r="E70" s="13"/>
      <c r="F70" s="13"/>
      <c r="G70" s="1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/>
      <c r="B71" s="3"/>
      <c r="C71" s="13"/>
      <c r="D71" s="17"/>
      <c r="E71" s="13"/>
      <c r="F71" s="13"/>
      <c r="G71" s="1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/>
      <c r="B72" s="3"/>
      <c r="C72" s="13"/>
      <c r="D72" s="17"/>
      <c r="E72" s="13"/>
      <c r="F72" s="13"/>
      <c r="G72" s="1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/>
      <c r="B73" s="3"/>
      <c r="C73" s="13"/>
      <c r="D73" s="17"/>
      <c r="E73" s="13"/>
      <c r="F73" s="13"/>
      <c r="G73" s="1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/>
      <c r="B74" s="3"/>
      <c r="C74" s="13"/>
      <c r="D74" s="17"/>
      <c r="E74" s="13"/>
      <c r="F74" s="13"/>
      <c r="G74" s="1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/>
      <c r="B75" s="3"/>
      <c r="C75" s="13"/>
      <c r="D75" s="17"/>
      <c r="E75" s="13"/>
      <c r="F75" s="13"/>
      <c r="G75" s="1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/>
      <c r="B76" s="3"/>
      <c r="C76" s="13"/>
      <c r="D76" s="17"/>
      <c r="E76" s="13"/>
      <c r="F76" s="13"/>
      <c r="G76" s="1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/>
      <c r="B77" s="3"/>
      <c r="C77" s="13"/>
      <c r="D77" s="17"/>
      <c r="E77" s="13"/>
      <c r="F77" s="13"/>
      <c r="G77" s="1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/>
      <c r="B78" s="3"/>
      <c r="C78" s="13"/>
      <c r="D78" s="17"/>
      <c r="E78" s="13"/>
      <c r="F78" s="13"/>
      <c r="G78" s="1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/>
      <c r="B79" s="3"/>
      <c r="C79" s="13"/>
      <c r="D79" s="17"/>
      <c r="E79" s="13"/>
      <c r="F79" s="13"/>
      <c r="G79" s="1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/>
      <c r="B80" s="3"/>
      <c r="C80" s="13"/>
      <c r="D80" s="17"/>
      <c r="E80" s="13"/>
      <c r="F80" s="13"/>
      <c r="G80" s="1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/>
      <c r="B81" s="3"/>
      <c r="C81" s="13"/>
      <c r="D81" s="17"/>
      <c r="E81" s="13"/>
      <c r="F81" s="13"/>
      <c r="G81" s="1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/>
      <c r="B82" s="3"/>
      <c r="C82" s="13"/>
      <c r="D82" s="17"/>
      <c r="E82" s="13"/>
      <c r="F82" s="13"/>
      <c r="G82" s="1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/>
      <c r="B83" s="3"/>
      <c r="C83" s="13"/>
      <c r="D83" s="17"/>
      <c r="E83" s="13"/>
      <c r="F83" s="13"/>
      <c r="G83" s="1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/>
      <c r="B84" s="3"/>
      <c r="C84" s="13"/>
      <c r="D84" s="17"/>
      <c r="E84" s="13"/>
      <c r="F84" s="13"/>
      <c r="G84" s="1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/>
      <c r="B85" s="3"/>
      <c r="C85" s="13"/>
      <c r="D85" s="17"/>
      <c r="E85" s="13"/>
      <c r="F85" s="13"/>
      <c r="G85" s="1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/>
      <c r="B86" s="3"/>
      <c r="C86" s="13"/>
      <c r="D86" s="17"/>
      <c r="E86" s="13"/>
      <c r="F86" s="13"/>
      <c r="G86" s="1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/>
      <c r="B87" s="3"/>
      <c r="C87" s="13"/>
      <c r="D87" s="17"/>
      <c r="E87" s="13"/>
      <c r="F87" s="13"/>
      <c r="G87" s="1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/>
      <c r="B88" s="3"/>
      <c r="C88" s="13"/>
      <c r="D88" s="17"/>
      <c r="E88" s="13"/>
      <c r="F88" s="13"/>
      <c r="G88" s="1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/>
      <c r="B89" s="3"/>
      <c r="C89" s="13"/>
      <c r="D89" s="17"/>
      <c r="E89" s="13"/>
      <c r="F89" s="13"/>
      <c r="G89" s="1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/>
      <c r="B90" s="3"/>
      <c r="C90" s="13"/>
      <c r="D90" s="17"/>
      <c r="E90" s="13"/>
      <c r="F90" s="13"/>
      <c r="G90" s="1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/>
      <c r="B91" s="3"/>
      <c r="C91" s="13"/>
      <c r="D91" s="17"/>
      <c r="E91" s="13"/>
      <c r="F91" s="13"/>
      <c r="G91" s="1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/>
      <c r="B92" s="3"/>
      <c r="C92" s="13"/>
      <c r="D92" s="17"/>
      <c r="E92" s="13"/>
      <c r="F92" s="13"/>
      <c r="G92" s="1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/>
      <c r="B93" s="3"/>
      <c r="C93" s="13"/>
      <c r="D93" s="17"/>
      <c r="E93" s="13"/>
      <c r="F93" s="13"/>
      <c r="G93" s="1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/>
      <c r="B94" s="3"/>
      <c r="C94" s="13"/>
      <c r="D94" s="17"/>
      <c r="E94" s="13"/>
      <c r="F94" s="13"/>
      <c r="G94" s="1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/>
      <c r="B95" s="3"/>
      <c r="C95" s="13"/>
      <c r="D95" s="17"/>
      <c r="E95" s="13"/>
      <c r="F95" s="13"/>
      <c r="G95" s="1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/>
      <c r="B96" s="3"/>
      <c r="C96" s="13"/>
      <c r="D96" s="17"/>
      <c r="E96" s="13"/>
      <c r="F96" s="13"/>
      <c r="G96" s="1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/>
      <c r="B97" s="3"/>
      <c r="C97" s="13"/>
      <c r="D97" s="17"/>
      <c r="E97" s="13"/>
      <c r="F97" s="13"/>
      <c r="G97" s="1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/>
      <c r="B98" s="3"/>
      <c r="C98" s="13"/>
      <c r="D98" s="17"/>
      <c r="E98" s="13"/>
      <c r="F98" s="13"/>
      <c r="G98" s="1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/>
      <c r="B99" s="3"/>
      <c r="C99" s="13"/>
      <c r="D99" s="17"/>
      <c r="E99" s="13"/>
      <c r="F99" s="13"/>
      <c r="G99" s="1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/>
      <c r="B100" s="3"/>
      <c r="C100" s="13"/>
      <c r="D100" s="17"/>
      <c r="E100" s="13"/>
      <c r="F100" s="13"/>
      <c r="G100" s="1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/>
      <c r="B101" s="3"/>
      <c r="C101" s="13"/>
      <c r="D101" s="17"/>
      <c r="E101" s="13"/>
      <c r="F101" s="13"/>
      <c r="G101" s="1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/>
      <c r="B102" s="3"/>
      <c r="C102" s="13"/>
      <c r="D102" s="17"/>
      <c r="E102" s="13"/>
      <c r="F102" s="13"/>
      <c r="G102" s="1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/>
      <c r="B103" s="3"/>
      <c r="C103" s="13"/>
      <c r="D103" s="17"/>
      <c r="E103" s="13"/>
      <c r="F103" s="13"/>
      <c r="G103" s="1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/>
      <c r="B104" s="3"/>
      <c r="C104" s="13"/>
      <c r="D104" s="17"/>
      <c r="E104" s="13"/>
      <c r="F104" s="13"/>
      <c r="G104" s="1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/>
      <c r="B105" s="3"/>
      <c r="C105" s="13"/>
      <c r="D105" s="17"/>
      <c r="E105" s="13"/>
      <c r="F105" s="13"/>
      <c r="G105" s="1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/>
      <c r="B106" s="3"/>
      <c r="C106" s="13"/>
      <c r="D106" s="17"/>
      <c r="E106" s="13"/>
      <c r="F106" s="13"/>
      <c r="G106" s="1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/>
      <c r="B107" s="3"/>
      <c r="C107" s="13"/>
      <c r="D107" s="17"/>
      <c r="E107" s="13"/>
      <c r="F107" s="13"/>
      <c r="G107" s="1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/>
      <c r="B108" s="3"/>
      <c r="C108" s="13"/>
      <c r="D108" s="17"/>
      <c r="E108" s="13"/>
      <c r="F108" s="13"/>
      <c r="G108" s="1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/>
      <c r="B109" s="3"/>
      <c r="C109" s="13"/>
      <c r="D109" s="17"/>
      <c r="E109" s="13"/>
      <c r="F109" s="13"/>
      <c r="G109" s="1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/>
      <c r="B110" s="3"/>
      <c r="C110" s="13"/>
      <c r="D110" s="17"/>
      <c r="E110" s="13"/>
      <c r="F110" s="13"/>
      <c r="G110" s="1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/>
      <c r="B111" s="3"/>
      <c r="C111" s="13"/>
      <c r="D111" s="17"/>
      <c r="E111" s="13"/>
      <c r="F111" s="13"/>
      <c r="G111" s="1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/>
      <c r="B112" s="3"/>
      <c r="C112" s="13"/>
      <c r="D112" s="17"/>
      <c r="E112" s="13"/>
      <c r="F112" s="13"/>
      <c r="G112" s="1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/>
      <c r="B113" s="3"/>
      <c r="C113" s="13"/>
      <c r="D113" s="17"/>
      <c r="E113" s="13"/>
      <c r="F113" s="13"/>
      <c r="G113" s="1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/>
      <c r="B114" s="3"/>
      <c r="C114" s="13"/>
      <c r="D114" s="17"/>
      <c r="E114" s="13"/>
      <c r="F114" s="13"/>
      <c r="G114" s="1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/>
      <c r="B115" s="3"/>
      <c r="C115" s="13"/>
      <c r="D115" s="17"/>
      <c r="E115" s="13"/>
      <c r="F115" s="13"/>
      <c r="G115" s="1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/>
      <c r="B116" s="3"/>
      <c r="C116" s="13"/>
      <c r="D116" s="17"/>
      <c r="E116" s="13"/>
      <c r="F116" s="13"/>
      <c r="G116" s="1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/>
      <c r="B117" s="3"/>
      <c r="C117" s="13"/>
      <c r="D117" s="17"/>
      <c r="E117" s="13"/>
      <c r="F117" s="13"/>
      <c r="G117" s="1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/>
      <c r="B118" s="3"/>
      <c r="C118" s="13"/>
      <c r="D118" s="17"/>
      <c r="E118" s="13"/>
      <c r="F118" s="13"/>
      <c r="G118" s="1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/>
      <c r="B119" s="3"/>
      <c r="C119" s="13"/>
      <c r="D119" s="17"/>
      <c r="E119" s="13"/>
      <c r="F119" s="13"/>
      <c r="G119" s="1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/>
      <c r="B120" s="3"/>
      <c r="C120" s="13"/>
      <c r="D120" s="17"/>
      <c r="E120" s="13"/>
      <c r="F120" s="13"/>
      <c r="G120" s="1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/>
      <c r="B121" s="3"/>
      <c r="C121" s="13"/>
      <c r="D121" s="17"/>
      <c r="E121" s="13"/>
      <c r="F121" s="13"/>
      <c r="G121" s="1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/>
      <c r="B122" s="3"/>
      <c r="C122" s="13"/>
      <c r="D122" s="17"/>
      <c r="E122" s="13"/>
      <c r="F122" s="13"/>
      <c r="G122" s="1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/>
      <c r="B123" s="3"/>
      <c r="C123" s="13"/>
      <c r="D123" s="17"/>
      <c r="E123" s="13"/>
      <c r="F123" s="13"/>
      <c r="G123" s="1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/>
      <c r="B124" s="3"/>
      <c r="C124" s="13"/>
      <c r="D124" s="17"/>
      <c r="E124" s="13"/>
      <c r="F124" s="13"/>
      <c r="G124" s="1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/>
      <c r="B125" s="3"/>
      <c r="C125" s="13"/>
      <c r="D125" s="17"/>
      <c r="E125" s="13"/>
      <c r="F125" s="13"/>
      <c r="G125" s="1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/>
      <c r="B126" s="3"/>
      <c r="C126" s="13"/>
      <c r="D126" s="17"/>
      <c r="E126" s="13"/>
      <c r="F126" s="13"/>
      <c r="G126" s="1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/>
      <c r="B127" s="3"/>
      <c r="C127" s="13"/>
      <c r="D127" s="17"/>
      <c r="E127" s="13"/>
      <c r="F127" s="13"/>
      <c r="G127" s="1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/>
      <c r="B128" s="3"/>
      <c r="C128" s="13"/>
      <c r="D128" s="17"/>
      <c r="E128" s="13"/>
      <c r="F128" s="13"/>
      <c r="G128" s="1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/>
      <c r="B129" s="3"/>
      <c r="C129" s="13"/>
      <c r="D129" s="17"/>
      <c r="E129" s="13"/>
      <c r="F129" s="13"/>
      <c r="G129" s="1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/>
      <c r="B130" s="3"/>
      <c r="C130" s="13"/>
      <c r="D130" s="17"/>
      <c r="E130" s="13"/>
      <c r="F130" s="13"/>
      <c r="G130" s="1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/>
      <c r="B131" s="3"/>
      <c r="C131" s="13"/>
      <c r="D131" s="17"/>
      <c r="E131" s="13"/>
      <c r="F131" s="13"/>
      <c r="G131" s="1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/>
      <c r="B132" s="3"/>
      <c r="C132" s="13"/>
      <c r="D132" s="17"/>
      <c r="E132" s="13"/>
      <c r="F132" s="13"/>
      <c r="G132" s="1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/>
      <c r="B133" s="3"/>
      <c r="C133" s="13"/>
      <c r="D133" s="17"/>
      <c r="E133" s="13"/>
      <c r="F133" s="13"/>
      <c r="G133" s="1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/>
      <c r="B134" s="3"/>
      <c r="C134" s="13"/>
      <c r="D134" s="17"/>
      <c r="E134" s="13"/>
      <c r="F134" s="13"/>
      <c r="G134" s="1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/>
      <c r="B135" s="3"/>
      <c r="C135" s="13"/>
      <c r="D135" s="17"/>
      <c r="E135" s="13"/>
      <c r="F135" s="13"/>
      <c r="G135" s="1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/>
      <c r="B136" s="3"/>
      <c r="C136" s="13"/>
      <c r="D136" s="17"/>
      <c r="E136" s="13"/>
      <c r="F136" s="13"/>
      <c r="G136" s="1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/>
      <c r="B137" s="3"/>
      <c r="C137" s="13"/>
      <c r="D137" s="17"/>
      <c r="E137" s="13"/>
      <c r="F137" s="13"/>
      <c r="G137" s="1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/>
      <c r="B138" s="3"/>
      <c r="C138" s="13"/>
      <c r="D138" s="17"/>
      <c r="E138" s="13"/>
      <c r="F138" s="13"/>
      <c r="G138" s="1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/>
      <c r="B139" s="3"/>
      <c r="C139" s="13"/>
      <c r="D139" s="17"/>
      <c r="E139" s="13"/>
      <c r="F139" s="13"/>
      <c r="G139" s="1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/>
      <c r="B140" s="3"/>
      <c r="C140" s="13"/>
      <c r="D140" s="17"/>
      <c r="E140" s="13"/>
      <c r="F140" s="13"/>
      <c r="G140" s="1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/>
      <c r="B141" s="3"/>
      <c r="C141" s="13"/>
      <c r="D141" s="17"/>
      <c r="E141" s="13"/>
      <c r="F141" s="13"/>
      <c r="G141" s="1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/>
      <c r="B142" s="3"/>
      <c r="C142" s="13"/>
      <c r="D142" s="17"/>
      <c r="E142" s="13"/>
      <c r="F142" s="13"/>
      <c r="G142" s="1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/>
      <c r="B143" s="3"/>
      <c r="C143" s="13"/>
      <c r="D143" s="17"/>
      <c r="E143" s="13"/>
      <c r="F143" s="13"/>
      <c r="G143" s="1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/>
      <c r="B144" s="3"/>
      <c r="C144" s="13"/>
      <c r="D144" s="17"/>
      <c r="E144" s="13"/>
      <c r="F144" s="13"/>
      <c r="G144" s="1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/>
      <c r="B145" s="3"/>
      <c r="C145" s="13"/>
      <c r="D145" s="17"/>
      <c r="E145" s="13"/>
      <c r="F145" s="13"/>
      <c r="G145" s="1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/>
      <c r="B146" s="3"/>
      <c r="C146" s="13"/>
      <c r="D146" s="17"/>
      <c r="E146" s="13"/>
      <c r="F146" s="13"/>
      <c r="G146" s="1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/>
      <c r="B147" s="3"/>
      <c r="C147" s="13"/>
      <c r="D147" s="17"/>
      <c r="E147" s="13"/>
      <c r="F147" s="13"/>
      <c r="G147" s="1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/>
      <c r="B148" s="3"/>
      <c r="C148" s="13"/>
      <c r="D148" s="17"/>
      <c r="E148" s="13"/>
      <c r="F148" s="13"/>
      <c r="G148" s="1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/>
      <c r="B149" s="3"/>
      <c r="C149" s="13"/>
      <c r="D149" s="17"/>
      <c r="E149" s="13"/>
      <c r="F149" s="13"/>
      <c r="G149" s="1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/>
      <c r="B150" s="3"/>
      <c r="C150" s="13"/>
      <c r="D150" s="17"/>
      <c r="E150" s="13"/>
      <c r="F150" s="13"/>
      <c r="G150" s="1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/>
      <c r="B151" s="3"/>
      <c r="C151" s="13"/>
      <c r="D151" s="17"/>
      <c r="E151" s="13"/>
      <c r="F151" s="13"/>
      <c r="G151" s="1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/>
      <c r="B152" s="3"/>
      <c r="C152" s="13"/>
      <c r="D152" s="17"/>
      <c r="E152" s="13"/>
      <c r="F152" s="13"/>
      <c r="G152" s="1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/>
      <c r="B153" s="3"/>
      <c r="C153" s="13"/>
      <c r="D153" s="17"/>
      <c r="E153" s="13"/>
      <c r="F153" s="13"/>
      <c r="G153" s="1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/>
      <c r="B154" s="3"/>
      <c r="C154" s="13"/>
      <c r="D154" s="17"/>
      <c r="E154" s="13"/>
      <c r="F154" s="13"/>
      <c r="G154" s="1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/>
      <c r="B155" s="3"/>
      <c r="C155" s="13"/>
      <c r="D155" s="17"/>
      <c r="E155" s="13"/>
      <c r="F155" s="13"/>
      <c r="G155" s="1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/>
      <c r="B156" s="3"/>
      <c r="C156" s="13"/>
      <c r="D156" s="17"/>
      <c r="E156" s="13"/>
      <c r="F156" s="13"/>
      <c r="G156" s="1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/>
      <c r="B157" s="3"/>
      <c r="C157" s="13"/>
      <c r="D157" s="17"/>
      <c r="E157" s="13"/>
      <c r="F157" s="13"/>
      <c r="G157" s="1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/>
      <c r="B158" s="3"/>
      <c r="C158" s="13"/>
      <c r="D158" s="17"/>
      <c r="E158" s="13"/>
      <c r="F158" s="13"/>
      <c r="G158" s="1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/>
      <c r="B159" s="3"/>
      <c r="C159" s="13"/>
      <c r="D159" s="17"/>
      <c r="E159" s="13"/>
      <c r="F159" s="13"/>
      <c r="G159" s="1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3"/>
      <c r="C160" s="13"/>
      <c r="D160" s="17"/>
      <c r="E160" s="13"/>
      <c r="F160" s="13"/>
      <c r="G160" s="1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/>
      <c r="B161" s="3"/>
      <c r="C161" s="13"/>
      <c r="D161" s="17"/>
      <c r="E161" s="13"/>
      <c r="F161" s="13"/>
      <c r="G161" s="1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/>
      <c r="B162" s="3"/>
      <c r="C162" s="13"/>
      <c r="D162" s="17"/>
      <c r="E162" s="13"/>
      <c r="F162" s="13"/>
      <c r="G162" s="1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/>
      <c r="B163" s="3"/>
      <c r="C163" s="13"/>
      <c r="D163" s="17"/>
      <c r="E163" s="13"/>
      <c r="F163" s="13"/>
      <c r="G163" s="1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/>
      <c r="B164" s="3"/>
      <c r="C164" s="13"/>
      <c r="D164" s="17"/>
      <c r="E164" s="13"/>
      <c r="F164" s="13"/>
      <c r="G164" s="1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/>
      <c r="B165" s="3"/>
      <c r="C165" s="13"/>
      <c r="D165" s="17"/>
      <c r="E165" s="13"/>
      <c r="F165" s="13"/>
      <c r="G165" s="1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/>
      <c r="B166" s="3"/>
      <c r="C166" s="13"/>
      <c r="D166" s="17"/>
      <c r="E166" s="13"/>
      <c r="F166" s="13"/>
      <c r="G166" s="1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/>
      <c r="B167" s="3"/>
      <c r="C167" s="13"/>
      <c r="D167" s="17"/>
      <c r="E167" s="13"/>
      <c r="F167" s="13"/>
      <c r="G167" s="1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/>
      <c r="B168" s="3"/>
      <c r="C168" s="13"/>
      <c r="D168" s="17"/>
      <c r="E168" s="13"/>
      <c r="F168" s="13"/>
      <c r="G168" s="1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3"/>
      <c r="C169" s="13"/>
      <c r="D169" s="17"/>
      <c r="E169" s="13"/>
      <c r="F169" s="13"/>
      <c r="G169" s="1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/>
      <c r="B170" s="3"/>
      <c r="C170" s="13"/>
      <c r="D170" s="17"/>
      <c r="E170" s="13"/>
      <c r="F170" s="13"/>
      <c r="G170" s="1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/>
      <c r="B171" s="3"/>
      <c r="C171" s="13"/>
      <c r="D171" s="17"/>
      <c r="E171" s="13"/>
      <c r="F171" s="13"/>
      <c r="G171" s="1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/>
      <c r="B172" s="3"/>
      <c r="C172" s="13"/>
      <c r="D172" s="17"/>
      <c r="E172" s="13"/>
      <c r="F172" s="13"/>
      <c r="G172" s="1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3"/>
      <c r="C173" s="13"/>
      <c r="D173" s="17"/>
      <c r="E173" s="13"/>
      <c r="F173" s="13"/>
      <c r="G173" s="1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/>
      <c r="B174" s="3"/>
      <c r="C174" s="13"/>
      <c r="D174" s="17"/>
      <c r="E174" s="13"/>
      <c r="F174" s="13"/>
      <c r="G174" s="1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/>
      <c r="B175" s="3"/>
      <c r="C175" s="13"/>
      <c r="D175" s="17"/>
      <c r="E175" s="13"/>
      <c r="F175" s="13"/>
      <c r="G175" s="1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/>
      <c r="B176" s="3"/>
      <c r="C176" s="13"/>
      <c r="D176" s="17"/>
      <c r="E176" s="13"/>
      <c r="F176" s="13"/>
      <c r="G176" s="1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3"/>
      <c r="C177" s="13"/>
      <c r="D177" s="17"/>
      <c r="E177" s="13"/>
      <c r="F177" s="13"/>
      <c r="G177" s="1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3"/>
      <c r="C178" s="13"/>
      <c r="D178" s="17"/>
      <c r="E178" s="13"/>
      <c r="F178" s="13"/>
      <c r="G178" s="1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3"/>
      <c r="C179" s="13"/>
      <c r="D179" s="17"/>
      <c r="E179" s="13"/>
      <c r="F179" s="13"/>
      <c r="G179" s="1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3"/>
      <c r="C180" s="13"/>
      <c r="D180" s="17"/>
      <c r="E180" s="13"/>
      <c r="F180" s="13"/>
      <c r="G180" s="1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3"/>
      <c r="C181" s="13"/>
      <c r="D181" s="17"/>
      <c r="E181" s="13"/>
      <c r="F181" s="13"/>
      <c r="G181" s="1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3"/>
      <c r="C182" s="13"/>
      <c r="D182" s="17"/>
      <c r="E182" s="13"/>
      <c r="F182" s="13"/>
      <c r="G182" s="1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/>
      <c r="B183" s="3"/>
      <c r="C183" s="13"/>
      <c r="D183" s="17"/>
      <c r="E183" s="13"/>
      <c r="F183" s="13"/>
      <c r="G183" s="1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3"/>
      <c r="C184" s="13"/>
      <c r="D184" s="17"/>
      <c r="E184" s="13"/>
      <c r="F184" s="13"/>
      <c r="G184" s="1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3"/>
      <c r="C185" s="13"/>
      <c r="D185" s="17"/>
      <c r="E185" s="13"/>
      <c r="F185" s="13"/>
      <c r="G185" s="1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3"/>
      <c r="C186" s="13"/>
      <c r="D186" s="17"/>
      <c r="E186" s="13"/>
      <c r="F186" s="13"/>
      <c r="G186" s="1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3"/>
      <c r="C187" s="13"/>
      <c r="D187" s="17"/>
      <c r="E187" s="13"/>
      <c r="F187" s="13"/>
      <c r="G187" s="1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3"/>
      <c r="C188" s="13"/>
      <c r="D188" s="17"/>
      <c r="E188" s="13"/>
      <c r="F188" s="13"/>
      <c r="G188" s="1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3"/>
      <c r="C189" s="13"/>
      <c r="D189" s="17"/>
      <c r="E189" s="13"/>
      <c r="F189" s="13"/>
      <c r="G189" s="1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3"/>
      <c r="C190" s="13"/>
      <c r="D190" s="17"/>
      <c r="E190" s="13"/>
      <c r="F190" s="13"/>
      <c r="G190" s="1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3"/>
      <c r="C191" s="13"/>
      <c r="D191" s="17"/>
      <c r="E191" s="13"/>
      <c r="F191" s="13"/>
      <c r="G191" s="1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3"/>
      <c r="C192" s="13"/>
      <c r="D192" s="17"/>
      <c r="E192" s="13"/>
      <c r="F192" s="13"/>
      <c r="G192" s="1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3"/>
      <c r="C193" s="13"/>
      <c r="D193" s="17"/>
      <c r="E193" s="13"/>
      <c r="F193" s="13"/>
      <c r="G193" s="1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3"/>
      <c r="C194" s="13"/>
      <c r="D194" s="17"/>
      <c r="E194" s="13"/>
      <c r="F194" s="13"/>
      <c r="G194" s="1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3"/>
      <c r="C195" s="13"/>
      <c r="D195" s="17"/>
      <c r="E195" s="13"/>
      <c r="F195" s="13"/>
      <c r="G195" s="1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3"/>
      <c r="C196" s="13"/>
      <c r="D196" s="17"/>
      <c r="E196" s="13"/>
      <c r="F196" s="13"/>
      <c r="G196" s="1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3"/>
      <c r="C197" s="13"/>
      <c r="D197" s="17"/>
      <c r="E197" s="13"/>
      <c r="F197" s="13"/>
      <c r="G197" s="1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3"/>
      <c r="C198" s="13"/>
      <c r="D198" s="17"/>
      <c r="E198" s="13"/>
      <c r="F198" s="13"/>
      <c r="G198" s="1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3"/>
      <c r="C199" s="13"/>
      <c r="D199" s="17"/>
      <c r="E199" s="13"/>
      <c r="F199" s="13"/>
      <c r="G199" s="1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3"/>
      <c r="C200" s="13"/>
      <c r="D200" s="17"/>
      <c r="E200" s="13"/>
      <c r="F200" s="13"/>
      <c r="G200" s="1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3"/>
      <c r="C201" s="13"/>
      <c r="D201" s="17"/>
      <c r="E201" s="13"/>
      <c r="F201" s="13"/>
      <c r="G201" s="1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3"/>
      <c r="C202" s="13"/>
      <c r="D202" s="17"/>
      <c r="E202" s="13"/>
      <c r="F202" s="13"/>
      <c r="G202" s="1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3"/>
      <c r="C203" s="13"/>
      <c r="D203" s="17"/>
      <c r="E203" s="13"/>
      <c r="F203" s="13"/>
      <c r="G203" s="1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3"/>
      <c r="C204" s="13"/>
      <c r="D204" s="17"/>
      <c r="E204" s="13"/>
      <c r="F204" s="13"/>
      <c r="G204" s="1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3"/>
      <c r="C205" s="13"/>
      <c r="D205" s="17"/>
      <c r="E205" s="13"/>
      <c r="F205" s="13"/>
      <c r="G205" s="1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3"/>
      <c r="C206" s="13"/>
      <c r="D206" s="17"/>
      <c r="E206" s="13"/>
      <c r="F206" s="13"/>
      <c r="G206" s="1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3"/>
      <c r="C207" s="13"/>
      <c r="D207" s="17"/>
      <c r="E207" s="13"/>
      <c r="F207" s="13"/>
      <c r="G207" s="1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3"/>
      <c r="C208" s="13"/>
      <c r="D208" s="17"/>
      <c r="E208" s="13"/>
      <c r="F208" s="13"/>
      <c r="G208" s="1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3"/>
      <c r="C209" s="13"/>
      <c r="D209" s="17"/>
      <c r="E209" s="13"/>
      <c r="F209" s="13"/>
      <c r="G209" s="1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3"/>
      <c r="C210" s="13"/>
      <c r="D210" s="17"/>
      <c r="E210" s="13"/>
      <c r="F210" s="13"/>
      <c r="G210" s="1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3"/>
      <c r="C211" s="13"/>
      <c r="D211" s="17"/>
      <c r="E211" s="13"/>
      <c r="F211" s="13"/>
      <c r="G211" s="1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3"/>
      <c r="C212" s="13"/>
      <c r="D212" s="17"/>
      <c r="E212" s="13"/>
      <c r="F212" s="13"/>
      <c r="G212" s="1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3"/>
      <c r="C213" s="13"/>
      <c r="D213" s="17"/>
      <c r="E213" s="13"/>
      <c r="F213" s="13"/>
      <c r="G213" s="1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3"/>
      <c r="C214" s="13"/>
      <c r="D214" s="17"/>
      <c r="E214" s="13"/>
      <c r="F214" s="13"/>
      <c r="G214" s="1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3"/>
      <c r="C215" s="13"/>
      <c r="D215" s="17"/>
      <c r="E215" s="13"/>
      <c r="F215" s="13"/>
      <c r="G215" s="1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3"/>
      <c r="C216" s="13"/>
      <c r="D216" s="17"/>
      <c r="E216" s="13"/>
      <c r="F216" s="13"/>
      <c r="G216" s="1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3"/>
      <c r="C217" s="13"/>
      <c r="D217" s="17"/>
      <c r="E217" s="13"/>
      <c r="F217" s="13"/>
      <c r="G217" s="1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3"/>
      <c r="C218" s="13"/>
      <c r="D218" s="17"/>
      <c r="E218" s="13"/>
      <c r="F218" s="13"/>
      <c r="G218" s="1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3"/>
      <c r="C219" s="13"/>
      <c r="D219" s="17"/>
      <c r="E219" s="13"/>
      <c r="F219" s="13"/>
      <c r="G219" s="1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3"/>
      <c r="C220" s="13"/>
      <c r="D220" s="17"/>
      <c r="E220" s="13"/>
      <c r="F220" s="13"/>
      <c r="G220" s="1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5:G5"/>
    <mergeCell ref="A6:A12"/>
    <mergeCell ref="A13:A15"/>
  </mergeCells>
  <hyperlinks>
    <hyperlink r:id="rId1" ref="D6"/>
    <hyperlink r:id="rId2" ref="D7"/>
    <hyperlink r:id="rId3" ref="D8"/>
    <hyperlink r:id="rId4" ref="D11"/>
    <hyperlink r:id="rId5" ref="D12"/>
    <hyperlink r:id="rId6" ref="D13"/>
    <hyperlink r:id="rId7" ref="D14"/>
    <hyperlink r:id="rId8" ref="D15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3.38"/>
    <col customWidth="1" min="3" max="4" width="22.88"/>
    <col customWidth="1" min="5" max="5" width="9.63"/>
    <col customWidth="1" min="6" max="6" width="15.25"/>
    <col customWidth="1" min="8" max="8" width="19.0"/>
  </cols>
  <sheetData>
    <row r="1" ht="15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 t="s">
        <v>276</v>
      </c>
      <c r="C2" s="49">
        <f>sum(G6:G13)</f>
        <v>110.2</v>
      </c>
      <c r="D2" s="7" t="s">
        <v>277</v>
      </c>
      <c r="E2" s="50">
        <f>sum(G16:G23)</f>
        <v>651.47</v>
      </c>
      <c r="F2" s="4"/>
      <c r="G2" s="4"/>
      <c r="H2" s="4"/>
      <c r="I2" s="4"/>
      <c r="J2" s="4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/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/>
      <c r="J4" s="4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5" t="s">
        <v>278</v>
      </c>
      <c r="B5" s="10"/>
      <c r="C5" s="10"/>
      <c r="D5" s="10"/>
      <c r="E5" s="10"/>
      <c r="F5" s="10"/>
      <c r="G5" s="10"/>
      <c r="H5" s="3"/>
      <c r="I5" s="4"/>
      <c r="J5" s="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27"/>
      <c r="B6" s="3"/>
      <c r="C6" s="13"/>
      <c r="D6" s="17"/>
      <c r="E6" s="13"/>
      <c r="F6" s="15"/>
      <c r="G6" s="13"/>
      <c r="H6" s="3"/>
      <c r="I6" s="4"/>
      <c r="J6" s="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2" t="s">
        <v>279</v>
      </c>
      <c r="B7" s="3" t="s">
        <v>280</v>
      </c>
      <c r="C7" s="13" t="s">
        <v>22</v>
      </c>
      <c r="D7" s="51" t="s">
        <v>281</v>
      </c>
      <c r="E7" s="52">
        <v>1.0</v>
      </c>
      <c r="F7" s="53">
        <v>4.2</v>
      </c>
      <c r="G7" s="15">
        <f t="shared" ref="G7:G13" si="1">E7*F7</f>
        <v>4.2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6"/>
      <c r="B8" s="3" t="s">
        <v>282</v>
      </c>
      <c r="C8" s="13" t="s">
        <v>283</v>
      </c>
      <c r="D8" s="14" t="s">
        <v>284</v>
      </c>
      <c r="E8" s="13">
        <v>1.0</v>
      </c>
      <c r="F8" s="15">
        <v>106.0</v>
      </c>
      <c r="G8" s="15">
        <f t="shared" si="1"/>
        <v>106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6"/>
      <c r="B9" s="3" t="s">
        <v>285</v>
      </c>
      <c r="C9" s="13"/>
      <c r="D9" s="17"/>
      <c r="E9" s="13"/>
      <c r="F9" s="15"/>
      <c r="G9" s="15">
        <f t="shared" si="1"/>
        <v>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6"/>
      <c r="B10" s="3"/>
      <c r="C10" s="13"/>
      <c r="D10" s="17"/>
      <c r="E10" s="13"/>
      <c r="F10" s="15"/>
      <c r="G10" s="15">
        <f t="shared" si="1"/>
        <v>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6"/>
      <c r="B11" s="3"/>
      <c r="C11" s="13"/>
      <c r="D11" s="17"/>
      <c r="E11" s="13"/>
      <c r="F11" s="15"/>
      <c r="G11" s="15">
        <f t="shared" si="1"/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6"/>
      <c r="B12" s="3" t="s">
        <v>286</v>
      </c>
      <c r="C12" s="13" t="s">
        <v>57</v>
      </c>
      <c r="D12" s="17" t="s">
        <v>287</v>
      </c>
      <c r="E12" s="13"/>
      <c r="F12" s="15"/>
      <c r="G12" s="15">
        <f t="shared" si="1"/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9"/>
      <c r="B13" s="3" t="s">
        <v>288</v>
      </c>
      <c r="C13" s="13" t="s">
        <v>57</v>
      </c>
      <c r="D13" s="17" t="s">
        <v>289</v>
      </c>
      <c r="E13" s="13"/>
      <c r="F13" s="15"/>
      <c r="G13" s="15">
        <f t="shared" si="1"/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54"/>
      <c r="B14" s="3"/>
      <c r="C14" s="13"/>
      <c r="D14" s="17"/>
      <c r="E14" s="13"/>
      <c r="F14" s="15"/>
      <c r="G14" s="1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2" t="s">
        <v>290</v>
      </c>
      <c r="B15" s="3" t="s">
        <v>291</v>
      </c>
      <c r="C15" s="13" t="s">
        <v>292</v>
      </c>
      <c r="D15" s="17" t="s">
        <v>293</v>
      </c>
      <c r="E15" s="13">
        <v>1.0</v>
      </c>
      <c r="F15" s="15">
        <v>36.1</v>
      </c>
      <c r="G15" s="15">
        <f t="shared" ref="G15:G23" si="2">E15*F15</f>
        <v>36.1</v>
      </c>
      <c r="H15" s="3" t="s">
        <v>294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6"/>
      <c r="B16" s="3" t="s">
        <v>295</v>
      </c>
      <c r="C16" s="13" t="s">
        <v>292</v>
      </c>
      <c r="D16" s="17" t="s">
        <v>293</v>
      </c>
      <c r="E16" s="13">
        <v>1.0</v>
      </c>
      <c r="F16" s="15">
        <v>36.1</v>
      </c>
      <c r="G16" s="15">
        <f t="shared" si="2"/>
        <v>36.1</v>
      </c>
      <c r="H16" s="3" t="s">
        <v>294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6"/>
      <c r="B17" s="3" t="s">
        <v>296</v>
      </c>
      <c r="C17" s="13" t="s">
        <v>292</v>
      </c>
      <c r="D17" s="17" t="s">
        <v>293</v>
      </c>
      <c r="E17" s="13">
        <v>1.0</v>
      </c>
      <c r="F17" s="15">
        <v>36.1</v>
      </c>
      <c r="G17" s="15">
        <f t="shared" si="2"/>
        <v>36.1</v>
      </c>
      <c r="H17" s="3" t="s">
        <v>294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6"/>
      <c r="B18" s="3" t="s">
        <v>297</v>
      </c>
      <c r="C18" s="13" t="s">
        <v>292</v>
      </c>
      <c r="D18" s="17" t="s">
        <v>293</v>
      </c>
      <c r="E18" s="13">
        <v>1.0</v>
      </c>
      <c r="F18" s="15">
        <v>480.0</v>
      </c>
      <c r="G18" s="15">
        <f t="shared" si="2"/>
        <v>480</v>
      </c>
      <c r="H18" s="3" t="s">
        <v>294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6"/>
      <c r="B19" s="3" t="s">
        <v>298</v>
      </c>
      <c r="C19" s="13" t="s">
        <v>22</v>
      </c>
      <c r="D19" s="14" t="s">
        <v>299</v>
      </c>
      <c r="E19" s="13">
        <v>1.0</v>
      </c>
      <c r="F19" s="15">
        <v>20.14</v>
      </c>
      <c r="G19" s="15">
        <f t="shared" si="2"/>
        <v>20.14</v>
      </c>
      <c r="H19" s="3" t="s">
        <v>300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6"/>
      <c r="B20" s="3" t="s">
        <v>301</v>
      </c>
      <c r="C20" s="13" t="s">
        <v>22</v>
      </c>
      <c r="D20" s="14" t="s">
        <v>302</v>
      </c>
      <c r="E20" s="13">
        <v>1.0</v>
      </c>
      <c r="F20" s="15">
        <v>24.4</v>
      </c>
      <c r="G20" s="15">
        <f t="shared" si="2"/>
        <v>24.4</v>
      </c>
      <c r="H20" s="3" t="s">
        <v>300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6"/>
      <c r="B21" s="3" t="s">
        <v>303</v>
      </c>
      <c r="C21" s="13" t="s">
        <v>22</v>
      </c>
      <c r="D21" s="14" t="s">
        <v>304</v>
      </c>
      <c r="E21" s="13">
        <v>1.0</v>
      </c>
      <c r="F21" s="15">
        <v>21.49</v>
      </c>
      <c r="G21" s="15">
        <f t="shared" si="2"/>
        <v>21.49</v>
      </c>
      <c r="H21" s="3" t="s">
        <v>300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6"/>
      <c r="B22" s="3" t="s">
        <v>305</v>
      </c>
      <c r="C22" s="13" t="s">
        <v>306</v>
      </c>
      <c r="D22" s="14" t="s">
        <v>307</v>
      </c>
      <c r="E22" s="13">
        <v>1.0</v>
      </c>
      <c r="F22" s="15">
        <v>17.35</v>
      </c>
      <c r="G22" s="15">
        <f t="shared" si="2"/>
        <v>17.35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9"/>
      <c r="B23" s="3" t="s">
        <v>308</v>
      </c>
      <c r="C23" s="13" t="s">
        <v>309</v>
      </c>
      <c r="D23" s="14" t="s">
        <v>310</v>
      </c>
      <c r="E23" s="13">
        <v>1.0</v>
      </c>
      <c r="F23" s="15">
        <v>15.89</v>
      </c>
      <c r="G23" s="15">
        <f t="shared" si="2"/>
        <v>15.89</v>
      </c>
      <c r="H23" s="3" t="s">
        <v>311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7"/>
      <c r="B24" s="3"/>
      <c r="C24" s="13"/>
      <c r="D24" s="17"/>
      <c r="E24" s="13"/>
      <c r="F24" s="13"/>
      <c r="G24" s="1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6"/>
      <c r="B25" s="3"/>
      <c r="C25" s="13"/>
      <c r="D25" s="17"/>
      <c r="E25" s="13"/>
      <c r="F25" s="13"/>
      <c r="G25" s="1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7"/>
      <c r="C26" s="3"/>
      <c r="D26" s="1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7"/>
      <c r="C27" s="3"/>
      <c r="D27" s="17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7"/>
      <c r="C28" s="3"/>
      <c r="D28" s="1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7"/>
      <c r="C29" s="3"/>
      <c r="D29" s="17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7"/>
      <c r="C30" s="3"/>
      <c r="D30" s="1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7"/>
      <c r="C31" s="3"/>
      <c r="D31" s="1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7"/>
      <c r="C32" s="3"/>
      <c r="D32" s="17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7"/>
      <c r="B33" s="3"/>
      <c r="C33" s="3"/>
      <c r="D33" s="1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7"/>
      <c r="B34" s="3"/>
      <c r="C34" s="3"/>
      <c r="D34" s="1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7"/>
      <c r="C35" s="3"/>
      <c r="D35" s="17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7"/>
      <c r="C36" s="3"/>
      <c r="D36" s="17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7"/>
      <c r="C37" s="13"/>
      <c r="D37" s="17"/>
      <c r="E37" s="13"/>
      <c r="F37" s="13"/>
      <c r="G37" s="1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7"/>
      <c r="C38" s="13"/>
      <c r="D38" s="17"/>
      <c r="E38" s="13"/>
      <c r="F38" s="13"/>
      <c r="G38" s="1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7"/>
      <c r="C39" s="13"/>
      <c r="D39" s="17"/>
      <c r="E39" s="13"/>
      <c r="F39" s="13"/>
      <c r="G39" s="1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7"/>
      <c r="C40" s="13"/>
      <c r="D40" s="17"/>
      <c r="E40" s="13"/>
      <c r="F40" s="13"/>
      <c r="G40" s="1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7"/>
      <c r="C41" s="13"/>
      <c r="D41" s="17"/>
      <c r="E41" s="13"/>
      <c r="F41" s="13"/>
      <c r="G41" s="1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7"/>
      <c r="C42" s="13"/>
      <c r="D42" s="17"/>
      <c r="E42" s="13"/>
      <c r="F42" s="13"/>
      <c r="G42" s="1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7"/>
      <c r="C43" s="13"/>
      <c r="D43" s="17"/>
      <c r="E43" s="13"/>
      <c r="F43" s="13"/>
      <c r="G43" s="1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7"/>
      <c r="C44" s="13"/>
      <c r="D44" s="17"/>
      <c r="E44" s="13"/>
      <c r="F44" s="13"/>
      <c r="G44" s="1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7"/>
      <c r="C45" s="13"/>
      <c r="D45" s="17"/>
      <c r="E45" s="13"/>
      <c r="F45" s="13"/>
      <c r="G45" s="1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7"/>
      <c r="C46" s="13"/>
      <c r="D46" s="17"/>
      <c r="E46" s="13"/>
      <c r="F46" s="13"/>
      <c r="G46" s="1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7"/>
      <c r="C47" s="13"/>
      <c r="D47" s="17"/>
      <c r="E47" s="13"/>
      <c r="F47" s="13"/>
      <c r="G47" s="1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7"/>
      <c r="B48" s="3"/>
      <c r="C48" s="13"/>
      <c r="D48" s="17"/>
      <c r="E48" s="13"/>
      <c r="F48" s="13"/>
      <c r="G48" s="1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7"/>
      <c r="B49" s="3"/>
      <c r="C49" s="13"/>
      <c r="D49" s="17"/>
      <c r="E49" s="13"/>
      <c r="F49" s="13"/>
      <c r="G49" s="1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7"/>
      <c r="B50" s="3"/>
      <c r="C50" s="13"/>
      <c r="D50" s="17"/>
      <c r="E50" s="13"/>
      <c r="F50" s="13"/>
      <c r="G50" s="1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7"/>
      <c r="B51" s="3"/>
      <c r="C51" s="13"/>
      <c r="D51" s="17"/>
      <c r="E51" s="13"/>
      <c r="F51" s="13"/>
      <c r="G51" s="1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7"/>
      <c r="B52" s="3"/>
      <c r="C52" s="13"/>
      <c r="D52" s="17"/>
      <c r="E52" s="13"/>
      <c r="F52" s="13"/>
      <c r="G52" s="1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7"/>
      <c r="B53" s="3"/>
      <c r="C53" s="13"/>
      <c r="D53" s="17"/>
      <c r="E53" s="13"/>
      <c r="F53" s="13"/>
      <c r="G53" s="1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7"/>
      <c r="B54" s="3"/>
      <c r="C54" s="13"/>
      <c r="D54" s="17"/>
      <c r="E54" s="13"/>
      <c r="F54" s="13"/>
      <c r="G54" s="1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7"/>
      <c r="B55" s="3"/>
      <c r="C55" s="13"/>
      <c r="D55" s="17"/>
      <c r="E55" s="13"/>
      <c r="F55" s="13"/>
      <c r="G55" s="1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7"/>
      <c r="B56" s="3"/>
      <c r="C56" s="13"/>
      <c r="D56" s="17"/>
      <c r="E56" s="13"/>
      <c r="F56" s="13"/>
      <c r="G56" s="1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7"/>
      <c r="B57" s="3"/>
      <c r="C57" s="13"/>
      <c r="D57" s="17"/>
      <c r="E57" s="13"/>
      <c r="F57" s="13"/>
      <c r="G57" s="1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7"/>
      <c r="B58" s="3"/>
      <c r="C58" s="13"/>
      <c r="D58" s="17"/>
      <c r="E58" s="13"/>
      <c r="F58" s="13"/>
      <c r="G58" s="1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7"/>
      <c r="B59" s="3"/>
      <c r="C59" s="13"/>
      <c r="D59" s="17"/>
      <c r="E59" s="13"/>
      <c r="F59" s="13"/>
      <c r="G59" s="1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7"/>
      <c r="B60" s="3"/>
      <c r="C60" s="13"/>
      <c r="D60" s="17"/>
      <c r="E60" s="13"/>
      <c r="F60" s="13"/>
      <c r="G60" s="1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7"/>
      <c r="B61" s="3"/>
      <c r="C61" s="13"/>
      <c r="D61" s="17"/>
      <c r="E61" s="13"/>
      <c r="F61" s="13"/>
      <c r="G61" s="1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7"/>
      <c r="B62" s="3"/>
      <c r="C62" s="13"/>
      <c r="D62" s="17"/>
      <c r="E62" s="13"/>
      <c r="F62" s="13"/>
      <c r="G62" s="1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7"/>
      <c r="B63" s="3"/>
      <c r="C63" s="13"/>
      <c r="D63" s="17"/>
      <c r="E63" s="13"/>
      <c r="F63" s="13"/>
      <c r="G63" s="1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7"/>
      <c r="B64" s="3"/>
      <c r="C64" s="13"/>
      <c r="D64" s="17"/>
      <c r="E64" s="13"/>
      <c r="F64" s="13"/>
      <c r="G64" s="1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7"/>
      <c r="B65" s="3"/>
      <c r="C65" s="13"/>
      <c r="D65" s="17"/>
      <c r="E65" s="13"/>
      <c r="F65" s="13"/>
      <c r="G65" s="1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7"/>
      <c r="B66" s="3"/>
      <c r="C66" s="13"/>
      <c r="D66" s="17"/>
      <c r="E66" s="13"/>
      <c r="F66" s="13"/>
      <c r="G66" s="1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7"/>
      <c r="B67" s="3"/>
      <c r="C67" s="13"/>
      <c r="D67" s="17"/>
      <c r="E67" s="13"/>
      <c r="F67" s="13"/>
      <c r="G67" s="1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7"/>
      <c r="B68" s="3"/>
      <c r="C68" s="13"/>
      <c r="D68" s="17"/>
      <c r="E68" s="13"/>
      <c r="F68" s="13"/>
      <c r="G68" s="1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7"/>
      <c r="B69" s="3"/>
      <c r="C69" s="13"/>
      <c r="D69" s="17"/>
      <c r="E69" s="13"/>
      <c r="F69" s="13"/>
      <c r="G69" s="1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7"/>
      <c r="B70" s="3"/>
      <c r="C70" s="13"/>
      <c r="D70" s="17"/>
      <c r="E70" s="13"/>
      <c r="F70" s="13"/>
      <c r="G70" s="1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7"/>
      <c r="B71" s="3"/>
      <c r="C71" s="13"/>
      <c r="D71" s="17"/>
      <c r="E71" s="13"/>
      <c r="F71" s="13"/>
      <c r="G71" s="1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7"/>
      <c r="B72" s="3"/>
      <c r="C72" s="13"/>
      <c r="D72" s="17"/>
      <c r="E72" s="13"/>
      <c r="F72" s="13"/>
      <c r="G72" s="1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7"/>
      <c r="B73" s="3"/>
      <c r="C73" s="13"/>
      <c r="D73" s="17"/>
      <c r="E73" s="13"/>
      <c r="F73" s="13"/>
      <c r="G73" s="1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7"/>
      <c r="B74" s="3"/>
      <c r="C74" s="13"/>
      <c r="D74" s="17"/>
      <c r="E74" s="13"/>
      <c r="F74" s="13"/>
      <c r="G74" s="1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7"/>
      <c r="B75" s="3"/>
      <c r="C75" s="13"/>
      <c r="D75" s="17"/>
      <c r="E75" s="13"/>
      <c r="F75" s="13"/>
      <c r="G75" s="1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7"/>
      <c r="B76" s="3"/>
      <c r="C76" s="13"/>
      <c r="D76" s="17"/>
      <c r="E76" s="13"/>
      <c r="F76" s="13"/>
      <c r="G76" s="1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7"/>
      <c r="B77" s="3"/>
      <c r="C77" s="13"/>
      <c r="D77" s="17"/>
      <c r="E77" s="13"/>
      <c r="F77" s="13"/>
      <c r="G77" s="1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7"/>
      <c r="B78" s="3"/>
      <c r="C78" s="13"/>
      <c r="D78" s="17"/>
      <c r="E78" s="13"/>
      <c r="F78" s="13"/>
      <c r="G78" s="1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7"/>
      <c r="B79" s="3"/>
      <c r="C79" s="13"/>
      <c r="D79" s="17"/>
      <c r="E79" s="13"/>
      <c r="F79" s="13"/>
      <c r="G79" s="1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7"/>
      <c r="B80" s="3"/>
      <c r="C80" s="13"/>
      <c r="D80" s="17"/>
      <c r="E80" s="13"/>
      <c r="F80" s="13"/>
      <c r="G80" s="1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7"/>
      <c r="B81" s="3"/>
      <c r="C81" s="13"/>
      <c r="D81" s="17"/>
      <c r="E81" s="13"/>
      <c r="F81" s="13"/>
      <c r="G81" s="1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7"/>
      <c r="B82" s="3"/>
      <c r="C82" s="13"/>
      <c r="D82" s="17"/>
      <c r="E82" s="13"/>
      <c r="F82" s="13"/>
      <c r="G82" s="1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7"/>
      <c r="B83" s="3"/>
      <c r="C83" s="13"/>
      <c r="D83" s="17"/>
      <c r="E83" s="13"/>
      <c r="F83" s="13"/>
      <c r="G83" s="1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7"/>
      <c r="B84" s="3"/>
      <c r="C84" s="13"/>
      <c r="D84" s="17"/>
      <c r="E84" s="13"/>
      <c r="F84" s="13"/>
      <c r="G84" s="1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7"/>
      <c r="B85" s="3"/>
      <c r="C85" s="13"/>
      <c r="D85" s="17"/>
      <c r="E85" s="13"/>
      <c r="F85" s="13"/>
      <c r="G85" s="1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7"/>
      <c r="B86" s="3"/>
      <c r="C86" s="13"/>
      <c r="D86" s="17"/>
      <c r="E86" s="13"/>
      <c r="F86" s="13"/>
      <c r="G86" s="1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7"/>
      <c r="B87" s="3"/>
      <c r="C87" s="13"/>
      <c r="D87" s="17"/>
      <c r="E87" s="13"/>
      <c r="F87" s="13"/>
      <c r="G87" s="1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7"/>
      <c r="B88" s="3"/>
      <c r="C88" s="13"/>
      <c r="D88" s="17"/>
      <c r="E88" s="13"/>
      <c r="F88" s="13"/>
      <c r="G88" s="1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7"/>
      <c r="B89" s="3"/>
      <c r="C89" s="13"/>
      <c r="D89" s="17"/>
      <c r="E89" s="13"/>
      <c r="F89" s="13"/>
      <c r="G89" s="1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7"/>
      <c r="B90" s="3"/>
      <c r="C90" s="13"/>
      <c r="D90" s="17"/>
      <c r="E90" s="13"/>
      <c r="F90" s="13"/>
      <c r="G90" s="1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7"/>
      <c r="B91" s="3"/>
      <c r="C91" s="13"/>
      <c r="D91" s="17"/>
      <c r="E91" s="13"/>
      <c r="F91" s="13"/>
      <c r="G91" s="1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7"/>
      <c r="B92" s="3"/>
      <c r="C92" s="13"/>
      <c r="D92" s="17"/>
      <c r="E92" s="13"/>
      <c r="F92" s="13"/>
      <c r="G92" s="1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7"/>
      <c r="B93" s="3"/>
      <c r="C93" s="13"/>
      <c r="D93" s="17"/>
      <c r="E93" s="13"/>
      <c r="F93" s="13"/>
      <c r="G93" s="1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7"/>
      <c r="B94" s="3"/>
      <c r="C94" s="13"/>
      <c r="D94" s="17"/>
      <c r="E94" s="13"/>
      <c r="F94" s="13"/>
      <c r="G94" s="1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7"/>
      <c r="B95" s="3"/>
      <c r="C95" s="13"/>
      <c r="D95" s="17"/>
      <c r="E95" s="13"/>
      <c r="F95" s="13"/>
      <c r="G95" s="1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7"/>
      <c r="B96" s="3"/>
      <c r="C96" s="13"/>
      <c r="D96" s="17"/>
      <c r="E96" s="13"/>
      <c r="F96" s="13"/>
      <c r="G96" s="1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7"/>
      <c r="B97" s="3"/>
      <c r="C97" s="13"/>
      <c r="D97" s="17"/>
      <c r="E97" s="13"/>
      <c r="F97" s="13"/>
      <c r="G97" s="1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7"/>
      <c r="B98" s="3"/>
      <c r="C98" s="13"/>
      <c r="D98" s="17"/>
      <c r="E98" s="13"/>
      <c r="F98" s="13"/>
      <c r="G98" s="1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7"/>
      <c r="B99" s="3"/>
      <c r="C99" s="13"/>
      <c r="D99" s="17"/>
      <c r="E99" s="13"/>
      <c r="F99" s="13"/>
      <c r="G99" s="1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7"/>
      <c r="B100" s="3"/>
      <c r="C100" s="13"/>
      <c r="D100" s="17"/>
      <c r="E100" s="13"/>
      <c r="F100" s="13"/>
      <c r="G100" s="1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7"/>
      <c r="B101" s="3"/>
      <c r="C101" s="13"/>
      <c r="D101" s="17"/>
      <c r="E101" s="13"/>
      <c r="F101" s="13"/>
      <c r="G101" s="1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7"/>
      <c r="B102" s="3"/>
      <c r="C102" s="13"/>
      <c r="D102" s="17"/>
      <c r="E102" s="13"/>
      <c r="F102" s="13"/>
      <c r="G102" s="1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7"/>
      <c r="B103" s="3"/>
      <c r="C103" s="13"/>
      <c r="D103" s="17"/>
      <c r="E103" s="13"/>
      <c r="F103" s="13"/>
      <c r="G103" s="1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7"/>
      <c r="B104" s="3"/>
      <c r="C104" s="13"/>
      <c r="D104" s="17"/>
      <c r="E104" s="13"/>
      <c r="F104" s="13"/>
      <c r="G104" s="1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7"/>
      <c r="B105" s="3"/>
      <c r="C105" s="13"/>
      <c r="D105" s="17"/>
      <c r="E105" s="13"/>
      <c r="F105" s="13"/>
      <c r="G105" s="1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7"/>
      <c r="B106" s="3"/>
      <c r="C106" s="13"/>
      <c r="D106" s="17"/>
      <c r="E106" s="13"/>
      <c r="F106" s="13"/>
      <c r="G106" s="1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7"/>
      <c r="B107" s="3"/>
      <c r="C107" s="13"/>
      <c r="D107" s="17"/>
      <c r="E107" s="13"/>
      <c r="F107" s="13"/>
      <c r="G107" s="1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7"/>
      <c r="B108" s="3"/>
      <c r="C108" s="13"/>
      <c r="D108" s="17"/>
      <c r="E108" s="13"/>
      <c r="F108" s="13"/>
      <c r="G108" s="1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7"/>
      <c r="B109" s="3"/>
      <c r="C109" s="13"/>
      <c r="D109" s="17"/>
      <c r="E109" s="13"/>
      <c r="F109" s="13"/>
      <c r="G109" s="1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7"/>
      <c r="B110" s="3"/>
      <c r="C110" s="13"/>
      <c r="D110" s="17"/>
      <c r="E110" s="13"/>
      <c r="F110" s="13"/>
      <c r="G110" s="1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7"/>
      <c r="B111" s="3"/>
      <c r="C111" s="13"/>
      <c r="D111" s="17"/>
      <c r="E111" s="13"/>
      <c r="F111" s="13"/>
      <c r="G111" s="1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7"/>
      <c r="B112" s="3"/>
      <c r="C112" s="13"/>
      <c r="D112" s="17"/>
      <c r="E112" s="13"/>
      <c r="F112" s="13"/>
      <c r="G112" s="1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7"/>
      <c r="B113" s="3"/>
      <c r="C113" s="13"/>
      <c r="D113" s="17"/>
      <c r="E113" s="13"/>
      <c r="F113" s="13"/>
      <c r="G113" s="1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7"/>
      <c r="B114" s="3"/>
      <c r="C114" s="13"/>
      <c r="D114" s="17"/>
      <c r="E114" s="13"/>
      <c r="F114" s="13"/>
      <c r="G114" s="1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7"/>
      <c r="B115" s="3"/>
      <c r="C115" s="13"/>
      <c r="D115" s="17"/>
      <c r="E115" s="13"/>
      <c r="F115" s="13"/>
      <c r="G115" s="1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7"/>
      <c r="B116" s="3"/>
      <c r="C116" s="13"/>
      <c r="D116" s="17"/>
      <c r="E116" s="13"/>
      <c r="F116" s="13"/>
      <c r="G116" s="1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7"/>
      <c r="B117" s="3"/>
      <c r="C117" s="13"/>
      <c r="D117" s="17"/>
      <c r="E117" s="13"/>
      <c r="F117" s="13"/>
      <c r="G117" s="1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7"/>
      <c r="B118" s="3"/>
      <c r="C118" s="13"/>
      <c r="D118" s="17"/>
      <c r="E118" s="13"/>
      <c r="F118" s="13"/>
      <c r="G118" s="1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7"/>
      <c r="B119" s="3"/>
      <c r="C119" s="13"/>
      <c r="D119" s="17"/>
      <c r="E119" s="13"/>
      <c r="F119" s="13"/>
      <c r="G119" s="1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7"/>
      <c r="B120" s="3"/>
      <c r="C120" s="13"/>
      <c r="D120" s="17"/>
      <c r="E120" s="13"/>
      <c r="F120" s="13"/>
      <c r="G120" s="1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7"/>
      <c r="B121" s="3"/>
      <c r="C121" s="13"/>
      <c r="D121" s="17"/>
      <c r="E121" s="13"/>
      <c r="F121" s="13"/>
      <c r="G121" s="1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7"/>
      <c r="B122" s="3"/>
      <c r="C122" s="13"/>
      <c r="D122" s="17"/>
      <c r="E122" s="13"/>
      <c r="F122" s="13"/>
      <c r="G122" s="1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7"/>
      <c r="B123" s="3"/>
      <c r="C123" s="13"/>
      <c r="D123" s="17"/>
      <c r="E123" s="13"/>
      <c r="F123" s="13"/>
      <c r="G123" s="1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7"/>
      <c r="B124" s="3"/>
      <c r="C124" s="13"/>
      <c r="D124" s="17"/>
      <c r="E124" s="13"/>
      <c r="F124" s="13"/>
      <c r="G124" s="1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7"/>
      <c r="B125" s="3"/>
      <c r="C125" s="13"/>
      <c r="D125" s="17"/>
      <c r="E125" s="13"/>
      <c r="F125" s="13"/>
      <c r="G125" s="1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7"/>
      <c r="B126" s="3"/>
      <c r="C126" s="13"/>
      <c r="D126" s="17"/>
      <c r="E126" s="13"/>
      <c r="F126" s="13"/>
      <c r="G126" s="1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7"/>
      <c r="B127" s="3"/>
      <c r="C127" s="13"/>
      <c r="D127" s="17"/>
      <c r="E127" s="13"/>
      <c r="F127" s="13"/>
      <c r="G127" s="1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7"/>
      <c r="B128" s="3"/>
      <c r="C128" s="13"/>
      <c r="D128" s="17"/>
      <c r="E128" s="13"/>
      <c r="F128" s="13"/>
      <c r="G128" s="1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7"/>
      <c r="B129" s="3"/>
      <c r="C129" s="13"/>
      <c r="D129" s="17"/>
      <c r="E129" s="13"/>
      <c r="F129" s="13"/>
      <c r="G129" s="1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7"/>
      <c r="B130" s="3"/>
      <c r="C130" s="13"/>
      <c r="D130" s="17"/>
      <c r="E130" s="13"/>
      <c r="F130" s="13"/>
      <c r="G130" s="1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7"/>
      <c r="B131" s="3"/>
      <c r="C131" s="13"/>
      <c r="D131" s="17"/>
      <c r="E131" s="13"/>
      <c r="F131" s="13"/>
      <c r="G131" s="1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7"/>
      <c r="B132" s="3"/>
      <c r="C132" s="13"/>
      <c r="D132" s="17"/>
      <c r="E132" s="13"/>
      <c r="F132" s="13"/>
      <c r="G132" s="1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7"/>
      <c r="B133" s="3"/>
      <c r="C133" s="13"/>
      <c r="D133" s="17"/>
      <c r="E133" s="13"/>
      <c r="F133" s="13"/>
      <c r="G133" s="1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7"/>
      <c r="B134" s="3"/>
      <c r="C134" s="13"/>
      <c r="D134" s="17"/>
      <c r="E134" s="13"/>
      <c r="F134" s="13"/>
      <c r="G134" s="1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7"/>
      <c r="B135" s="3"/>
      <c r="C135" s="13"/>
      <c r="D135" s="17"/>
      <c r="E135" s="13"/>
      <c r="F135" s="13"/>
      <c r="G135" s="1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7"/>
      <c r="B136" s="3"/>
      <c r="C136" s="13"/>
      <c r="D136" s="17"/>
      <c r="E136" s="13"/>
      <c r="F136" s="13"/>
      <c r="G136" s="1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7"/>
      <c r="B137" s="3"/>
      <c r="C137" s="13"/>
      <c r="D137" s="17"/>
      <c r="E137" s="13"/>
      <c r="F137" s="13"/>
      <c r="G137" s="1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7"/>
      <c r="B138" s="3"/>
      <c r="C138" s="13"/>
      <c r="D138" s="17"/>
      <c r="E138" s="13"/>
      <c r="F138" s="13"/>
      <c r="G138" s="1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7"/>
      <c r="B139" s="3"/>
      <c r="C139" s="13"/>
      <c r="D139" s="17"/>
      <c r="E139" s="13"/>
      <c r="F139" s="13"/>
      <c r="G139" s="1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7"/>
      <c r="B140" s="3"/>
      <c r="C140" s="13"/>
      <c r="D140" s="17"/>
      <c r="E140" s="13"/>
      <c r="F140" s="13"/>
      <c r="G140" s="1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7"/>
      <c r="B141" s="3"/>
      <c r="C141" s="13"/>
      <c r="D141" s="17"/>
      <c r="E141" s="13"/>
      <c r="F141" s="13"/>
      <c r="G141" s="1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7"/>
      <c r="B142" s="3"/>
      <c r="C142" s="13"/>
      <c r="D142" s="17"/>
      <c r="E142" s="13"/>
      <c r="F142" s="13"/>
      <c r="G142" s="1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7"/>
      <c r="B143" s="3"/>
      <c r="C143" s="13"/>
      <c r="D143" s="17"/>
      <c r="E143" s="13"/>
      <c r="F143" s="13"/>
      <c r="G143" s="1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7"/>
      <c r="B144" s="3"/>
      <c r="C144" s="13"/>
      <c r="D144" s="17"/>
      <c r="E144" s="13"/>
      <c r="F144" s="13"/>
      <c r="G144" s="1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7"/>
      <c r="B145" s="3"/>
      <c r="C145" s="13"/>
      <c r="D145" s="17"/>
      <c r="E145" s="13"/>
      <c r="F145" s="13"/>
      <c r="G145" s="1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7"/>
      <c r="B146" s="3"/>
      <c r="C146" s="13"/>
      <c r="D146" s="17"/>
      <c r="E146" s="13"/>
      <c r="F146" s="13"/>
      <c r="G146" s="1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7"/>
      <c r="B147" s="3"/>
      <c r="C147" s="13"/>
      <c r="D147" s="17"/>
      <c r="E147" s="13"/>
      <c r="F147" s="13"/>
      <c r="G147" s="1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7"/>
      <c r="B148" s="3"/>
      <c r="C148" s="13"/>
      <c r="D148" s="17"/>
      <c r="E148" s="13"/>
      <c r="F148" s="13"/>
      <c r="G148" s="1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7"/>
      <c r="B149" s="3"/>
      <c r="C149" s="13"/>
      <c r="D149" s="17"/>
      <c r="E149" s="13"/>
      <c r="F149" s="13"/>
      <c r="G149" s="1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7"/>
      <c r="B150" s="3"/>
      <c r="C150" s="13"/>
      <c r="D150" s="17"/>
      <c r="E150" s="13"/>
      <c r="F150" s="13"/>
      <c r="G150" s="1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7"/>
      <c r="B151" s="3"/>
      <c r="C151" s="13"/>
      <c r="D151" s="17"/>
      <c r="E151" s="13"/>
      <c r="F151" s="13"/>
      <c r="G151" s="1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7"/>
      <c r="B152" s="3"/>
      <c r="C152" s="13"/>
      <c r="D152" s="17"/>
      <c r="E152" s="13"/>
      <c r="F152" s="13"/>
      <c r="G152" s="1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7"/>
      <c r="B153" s="3"/>
      <c r="C153" s="13"/>
      <c r="D153" s="17"/>
      <c r="E153" s="13"/>
      <c r="F153" s="13"/>
      <c r="G153" s="1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7"/>
      <c r="B154" s="3"/>
      <c r="C154" s="13"/>
      <c r="D154" s="17"/>
      <c r="E154" s="13"/>
      <c r="F154" s="13"/>
      <c r="G154" s="1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7"/>
      <c r="B155" s="3"/>
      <c r="C155" s="13"/>
      <c r="D155" s="17"/>
      <c r="E155" s="13"/>
      <c r="F155" s="13"/>
      <c r="G155" s="1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7"/>
      <c r="B156" s="3"/>
      <c r="C156" s="13"/>
      <c r="D156" s="17"/>
      <c r="E156" s="13"/>
      <c r="F156" s="13"/>
      <c r="G156" s="1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7"/>
      <c r="B157" s="3"/>
      <c r="C157" s="13"/>
      <c r="D157" s="17"/>
      <c r="E157" s="13"/>
      <c r="F157" s="13"/>
      <c r="G157" s="1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7"/>
      <c r="B158" s="3"/>
      <c r="C158" s="13"/>
      <c r="D158" s="17"/>
      <c r="E158" s="13"/>
      <c r="F158" s="13"/>
      <c r="G158" s="1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7"/>
      <c r="B159" s="3"/>
      <c r="C159" s="13"/>
      <c r="D159" s="17"/>
      <c r="E159" s="13"/>
      <c r="F159" s="13"/>
      <c r="G159" s="1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7"/>
      <c r="B160" s="3"/>
      <c r="C160" s="13"/>
      <c r="D160" s="17"/>
      <c r="E160" s="13"/>
      <c r="F160" s="13"/>
      <c r="G160" s="1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7"/>
      <c r="B161" s="3"/>
      <c r="C161" s="13"/>
      <c r="D161" s="17"/>
      <c r="E161" s="13"/>
      <c r="F161" s="13"/>
      <c r="G161" s="1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7"/>
      <c r="B162" s="3"/>
      <c r="C162" s="13"/>
      <c r="D162" s="17"/>
      <c r="E162" s="13"/>
      <c r="F162" s="13"/>
      <c r="G162" s="1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7"/>
      <c r="B163" s="3"/>
      <c r="C163" s="13"/>
      <c r="D163" s="17"/>
      <c r="E163" s="13"/>
      <c r="F163" s="13"/>
      <c r="G163" s="1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7"/>
      <c r="B164" s="3"/>
      <c r="C164" s="13"/>
      <c r="D164" s="17"/>
      <c r="E164" s="13"/>
      <c r="F164" s="13"/>
      <c r="G164" s="1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7"/>
      <c r="B165" s="3"/>
      <c r="C165" s="13"/>
      <c r="D165" s="17"/>
      <c r="E165" s="13"/>
      <c r="F165" s="13"/>
      <c r="G165" s="1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7"/>
      <c r="B166" s="3"/>
      <c r="C166" s="13"/>
      <c r="D166" s="17"/>
      <c r="E166" s="13"/>
      <c r="F166" s="13"/>
      <c r="G166" s="1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7"/>
      <c r="B167" s="3"/>
      <c r="C167" s="13"/>
      <c r="D167" s="17"/>
      <c r="E167" s="13"/>
      <c r="F167" s="13"/>
      <c r="G167" s="1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7"/>
      <c r="B168" s="3"/>
      <c r="C168" s="13"/>
      <c r="D168" s="17"/>
      <c r="E168" s="13"/>
      <c r="F168" s="13"/>
      <c r="G168" s="1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7"/>
      <c r="B169" s="3"/>
      <c r="C169" s="13"/>
      <c r="D169" s="17"/>
      <c r="E169" s="13"/>
      <c r="F169" s="13"/>
      <c r="G169" s="1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7"/>
      <c r="B170" s="3"/>
      <c r="C170" s="13"/>
      <c r="D170" s="17"/>
      <c r="E170" s="13"/>
      <c r="F170" s="13"/>
      <c r="G170" s="1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7"/>
      <c r="B171" s="3"/>
      <c r="C171" s="13"/>
      <c r="D171" s="17"/>
      <c r="E171" s="13"/>
      <c r="F171" s="13"/>
      <c r="G171" s="1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7"/>
      <c r="B172" s="3"/>
      <c r="C172" s="13"/>
      <c r="D172" s="17"/>
      <c r="E172" s="13"/>
      <c r="F172" s="13"/>
      <c r="G172" s="1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7"/>
      <c r="B173" s="3"/>
      <c r="C173" s="13"/>
      <c r="D173" s="17"/>
      <c r="E173" s="13"/>
      <c r="F173" s="13"/>
      <c r="G173" s="1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7"/>
      <c r="B174" s="3"/>
      <c r="C174" s="13"/>
      <c r="D174" s="17"/>
      <c r="E174" s="13"/>
      <c r="F174" s="13"/>
      <c r="G174" s="1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7"/>
      <c r="B175" s="3"/>
      <c r="C175" s="13"/>
      <c r="D175" s="17"/>
      <c r="E175" s="13"/>
      <c r="F175" s="13"/>
      <c r="G175" s="1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7"/>
      <c r="B176" s="3"/>
      <c r="C176" s="13"/>
      <c r="D176" s="17"/>
      <c r="E176" s="13"/>
      <c r="F176" s="13"/>
      <c r="G176" s="1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7"/>
      <c r="B177" s="3"/>
      <c r="C177" s="13"/>
      <c r="D177" s="17"/>
      <c r="E177" s="13"/>
      <c r="F177" s="13"/>
      <c r="G177" s="1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7"/>
      <c r="B178" s="3"/>
      <c r="C178" s="13"/>
      <c r="D178" s="17"/>
      <c r="E178" s="13"/>
      <c r="F178" s="13"/>
      <c r="G178" s="1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7"/>
      <c r="B179" s="3"/>
      <c r="C179" s="13"/>
      <c r="D179" s="17"/>
      <c r="E179" s="13"/>
      <c r="F179" s="13"/>
      <c r="G179" s="1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7"/>
      <c r="B180" s="3"/>
      <c r="C180" s="13"/>
      <c r="D180" s="17"/>
      <c r="E180" s="13"/>
      <c r="F180" s="13"/>
      <c r="G180" s="1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7"/>
      <c r="B181" s="3"/>
      <c r="C181" s="13"/>
      <c r="D181" s="17"/>
      <c r="E181" s="13"/>
      <c r="F181" s="13"/>
      <c r="G181" s="1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7"/>
      <c r="B182" s="3"/>
      <c r="C182" s="13"/>
      <c r="D182" s="17"/>
      <c r="E182" s="13"/>
      <c r="F182" s="13"/>
      <c r="G182" s="1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7"/>
      <c r="B183" s="3"/>
      <c r="C183" s="13"/>
      <c r="D183" s="17"/>
      <c r="E183" s="13"/>
      <c r="F183" s="13"/>
      <c r="G183" s="1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7"/>
      <c r="B184" s="3"/>
      <c r="C184" s="13"/>
      <c r="D184" s="17"/>
      <c r="E184" s="13"/>
      <c r="F184" s="13"/>
      <c r="G184" s="1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7"/>
      <c r="B185" s="3"/>
      <c r="C185" s="13"/>
      <c r="D185" s="17"/>
      <c r="E185" s="13"/>
      <c r="F185" s="13"/>
      <c r="G185" s="1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7"/>
      <c r="B186" s="3"/>
      <c r="C186" s="13"/>
      <c r="D186" s="17"/>
      <c r="E186" s="13"/>
      <c r="F186" s="13"/>
      <c r="G186" s="1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7"/>
      <c r="B187" s="3"/>
      <c r="C187" s="13"/>
      <c r="D187" s="17"/>
      <c r="E187" s="13"/>
      <c r="F187" s="13"/>
      <c r="G187" s="1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7"/>
      <c r="B188" s="3"/>
      <c r="C188" s="13"/>
      <c r="D188" s="17"/>
      <c r="E188" s="13"/>
      <c r="F188" s="13"/>
      <c r="G188" s="1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7"/>
      <c r="B189" s="3"/>
      <c r="C189" s="13"/>
      <c r="D189" s="17"/>
      <c r="E189" s="13"/>
      <c r="F189" s="13"/>
      <c r="G189" s="1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7"/>
      <c r="B190" s="3"/>
      <c r="C190" s="13"/>
      <c r="D190" s="17"/>
      <c r="E190" s="13"/>
      <c r="F190" s="13"/>
      <c r="G190" s="1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7"/>
      <c r="B191" s="3"/>
      <c r="C191" s="13"/>
      <c r="D191" s="17"/>
      <c r="E191" s="13"/>
      <c r="F191" s="13"/>
      <c r="G191" s="1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7"/>
      <c r="B192" s="3"/>
      <c r="C192" s="13"/>
      <c r="D192" s="17"/>
      <c r="E192" s="13"/>
      <c r="F192" s="13"/>
      <c r="G192" s="1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7"/>
      <c r="B193" s="3"/>
      <c r="C193" s="13"/>
      <c r="D193" s="17"/>
      <c r="E193" s="13"/>
      <c r="F193" s="13"/>
      <c r="G193" s="1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7"/>
      <c r="B194" s="3"/>
      <c r="C194" s="13"/>
      <c r="D194" s="17"/>
      <c r="E194" s="13"/>
      <c r="F194" s="13"/>
      <c r="G194" s="1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7"/>
      <c r="B195" s="3"/>
      <c r="C195" s="13"/>
      <c r="D195" s="17"/>
      <c r="E195" s="13"/>
      <c r="F195" s="13"/>
      <c r="G195" s="1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7"/>
      <c r="B196" s="3"/>
      <c r="C196" s="13"/>
      <c r="D196" s="17"/>
      <c r="E196" s="13"/>
      <c r="F196" s="13"/>
      <c r="G196" s="1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7"/>
      <c r="B197" s="3"/>
      <c r="C197" s="13"/>
      <c r="D197" s="17"/>
      <c r="E197" s="13"/>
      <c r="F197" s="13"/>
      <c r="G197" s="1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7"/>
      <c r="B198" s="3"/>
      <c r="C198" s="13"/>
      <c r="D198" s="17"/>
      <c r="E198" s="13"/>
      <c r="F198" s="13"/>
      <c r="G198" s="1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7"/>
      <c r="B199" s="3"/>
      <c r="C199" s="13"/>
      <c r="D199" s="17"/>
      <c r="E199" s="13"/>
      <c r="F199" s="13"/>
      <c r="G199" s="1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7"/>
      <c r="B200" s="3"/>
      <c r="C200" s="13"/>
      <c r="D200" s="17"/>
      <c r="E200" s="13"/>
      <c r="F200" s="13"/>
      <c r="G200" s="1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7"/>
      <c r="B201" s="3"/>
      <c r="C201" s="13"/>
      <c r="D201" s="17"/>
      <c r="E201" s="13"/>
      <c r="F201" s="13"/>
      <c r="G201" s="1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7"/>
      <c r="B202" s="3"/>
      <c r="C202" s="13"/>
      <c r="D202" s="17"/>
      <c r="E202" s="13"/>
      <c r="F202" s="13"/>
      <c r="G202" s="1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7"/>
      <c r="B203" s="3"/>
      <c r="C203" s="13"/>
      <c r="D203" s="17"/>
      <c r="E203" s="13"/>
      <c r="F203" s="13"/>
      <c r="G203" s="1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7"/>
      <c r="B204" s="3"/>
      <c r="C204" s="13"/>
      <c r="D204" s="17"/>
      <c r="E204" s="13"/>
      <c r="F204" s="13"/>
      <c r="G204" s="1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7"/>
      <c r="B205" s="3"/>
      <c r="C205" s="13"/>
      <c r="D205" s="17"/>
      <c r="E205" s="13"/>
      <c r="F205" s="13"/>
      <c r="G205" s="1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7"/>
      <c r="B206" s="3"/>
      <c r="C206" s="13"/>
      <c r="D206" s="17"/>
      <c r="E206" s="13"/>
      <c r="F206" s="13"/>
      <c r="G206" s="1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7"/>
      <c r="B207" s="3"/>
      <c r="C207" s="13"/>
      <c r="D207" s="17"/>
      <c r="E207" s="13"/>
      <c r="F207" s="13"/>
      <c r="G207" s="1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7"/>
      <c r="B208" s="3"/>
      <c r="C208" s="13"/>
      <c r="D208" s="17"/>
      <c r="E208" s="13"/>
      <c r="F208" s="13"/>
      <c r="G208" s="1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7"/>
      <c r="B209" s="3"/>
      <c r="C209" s="13"/>
      <c r="D209" s="17"/>
      <c r="E209" s="13"/>
      <c r="F209" s="13"/>
      <c r="G209" s="1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7"/>
      <c r="B210" s="3"/>
      <c r="C210" s="13"/>
      <c r="D210" s="17"/>
      <c r="E210" s="13"/>
      <c r="F210" s="13"/>
      <c r="G210" s="1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7"/>
      <c r="B211" s="3"/>
      <c r="C211" s="13"/>
      <c r="D211" s="17"/>
      <c r="E211" s="13"/>
      <c r="F211" s="13"/>
      <c r="G211" s="1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7"/>
      <c r="B212" s="3"/>
      <c r="C212" s="13"/>
      <c r="D212" s="17"/>
      <c r="E212" s="13"/>
      <c r="F212" s="13"/>
      <c r="G212" s="1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7"/>
      <c r="B213" s="3"/>
      <c r="C213" s="13"/>
      <c r="D213" s="17"/>
      <c r="E213" s="13"/>
      <c r="F213" s="13"/>
      <c r="G213" s="1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7"/>
      <c r="B214" s="3"/>
      <c r="C214" s="13"/>
      <c r="D214" s="17"/>
      <c r="E214" s="13"/>
      <c r="F214" s="13"/>
      <c r="G214" s="1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7"/>
      <c r="B215" s="3"/>
      <c r="C215" s="13"/>
      <c r="D215" s="17"/>
      <c r="E215" s="13"/>
      <c r="F215" s="13"/>
      <c r="G215" s="1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7"/>
      <c r="B216" s="3"/>
      <c r="C216" s="13"/>
      <c r="D216" s="17"/>
      <c r="E216" s="13"/>
      <c r="F216" s="13"/>
      <c r="G216" s="1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7"/>
      <c r="B217" s="3"/>
      <c r="C217" s="13"/>
      <c r="D217" s="17"/>
      <c r="E217" s="13"/>
      <c r="F217" s="13"/>
      <c r="G217" s="1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7"/>
      <c r="B218" s="3"/>
      <c r="C218" s="13"/>
      <c r="D218" s="17"/>
      <c r="E218" s="13"/>
      <c r="F218" s="13"/>
      <c r="G218" s="1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7"/>
      <c r="B219" s="3"/>
      <c r="C219" s="13"/>
      <c r="D219" s="17"/>
      <c r="E219" s="13"/>
      <c r="F219" s="13"/>
      <c r="G219" s="1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7"/>
      <c r="B220" s="3"/>
      <c r="C220" s="13"/>
      <c r="D220" s="17"/>
      <c r="E220" s="13"/>
      <c r="F220" s="13"/>
      <c r="G220" s="1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7"/>
      <c r="B221" s="3"/>
      <c r="C221" s="13"/>
      <c r="D221" s="17"/>
      <c r="E221" s="13"/>
      <c r="F221" s="13"/>
      <c r="G221" s="1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7"/>
      <c r="B222" s="3"/>
      <c r="C222" s="13"/>
      <c r="D222" s="17"/>
      <c r="E222" s="13"/>
      <c r="F222" s="13"/>
      <c r="G222" s="1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7"/>
      <c r="B223" s="3"/>
      <c r="C223" s="13"/>
      <c r="D223" s="17"/>
      <c r="E223" s="13"/>
      <c r="F223" s="13"/>
      <c r="G223" s="1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5:G5"/>
    <mergeCell ref="A7:A13"/>
    <mergeCell ref="A15:A23"/>
  </mergeCells>
  <hyperlinks>
    <hyperlink r:id="rId1" ref="D7"/>
    <hyperlink r:id="rId2" ref="D8"/>
    <hyperlink r:id="rId3" ref="D19"/>
    <hyperlink r:id="rId4" ref="D20"/>
    <hyperlink r:id="rId5" ref="D21"/>
    <hyperlink r:id="rId6" ref="D22"/>
    <hyperlink r:id="rId7" ref="D23"/>
  </hyperlinks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3.38"/>
    <col customWidth="1" min="3" max="4" width="22.88"/>
    <col customWidth="1" min="5" max="5" width="9.63"/>
    <col customWidth="1" min="6" max="6" width="15.25"/>
    <col customWidth="1" min="8" max="8" width="19.0"/>
  </cols>
  <sheetData>
    <row r="1" ht="15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4" t="s">
        <v>312</v>
      </c>
      <c r="C2" s="55">
        <f>SUM(J15:J1033)</f>
        <v>6540.41</v>
      </c>
      <c r="D2" s="4"/>
      <c r="E2" s="4"/>
      <c r="F2" s="4"/>
      <c r="G2" s="4"/>
      <c r="H2" s="4"/>
      <c r="I2" s="4"/>
      <c r="J2" s="4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/>
      <c r="B4" s="4" t="s">
        <v>1</v>
      </c>
      <c r="C4" s="55">
        <f>'Actuation Components for TDCR C'!C3</f>
        <v>1095</v>
      </c>
      <c r="D4" s="4" t="s">
        <v>313</v>
      </c>
      <c r="E4" s="4"/>
      <c r="F4" s="4"/>
      <c r="G4" s="4"/>
      <c r="H4" s="4"/>
      <c r="I4" s="4"/>
      <c r="J4" s="4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"/>
      <c r="B6" s="4" t="s">
        <v>314</v>
      </c>
      <c r="C6" s="4"/>
      <c r="D6" s="4" t="s">
        <v>315</v>
      </c>
      <c r="E6" s="4"/>
      <c r="F6" s="4"/>
      <c r="G6" s="4"/>
      <c r="H6" s="4"/>
      <c r="I6" s="4"/>
      <c r="J6" s="4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/>
      <c r="B8" s="4" t="s">
        <v>316</v>
      </c>
      <c r="C8" s="4"/>
      <c r="D8" s="4" t="s">
        <v>317</v>
      </c>
      <c r="E8" s="4"/>
      <c r="F8" s="4"/>
      <c r="G8" s="4"/>
      <c r="H8" s="4"/>
      <c r="I8" s="4"/>
      <c r="J8" s="4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4"/>
      <c r="B10" s="4" t="s">
        <v>318</v>
      </c>
      <c r="C10" s="4"/>
      <c r="D10" s="4"/>
      <c r="E10" s="4"/>
      <c r="F10" s="4"/>
      <c r="G10" s="4"/>
      <c r="H10" s="4"/>
      <c r="I10" s="4"/>
      <c r="J10" s="4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56"/>
      <c r="B12" s="56"/>
      <c r="C12" s="56"/>
      <c r="D12" s="56"/>
      <c r="E12" s="56"/>
      <c r="F12" s="56"/>
      <c r="G12" s="56"/>
      <c r="H12" s="56"/>
      <c r="I12" s="57"/>
      <c r="J12" s="58"/>
      <c r="K12" s="59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15.75" customHeight="1">
      <c r="A13" s="39"/>
      <c r="B13" s="4" t="s">
        <v>3</v>
      </c>
      <c r="C13" s="4" t="s">
        <v>4</v>
      </c>
      <c r="D13" s="4" t="s">
        <v>5</v>
      </c>
      <c r="E13" s="4" t="s">
        <v>6</v>
      </c>
      <c r="F13" s="4" t="s">
        <v>7</v>
      </c>
      <c r="G13" s="4" t="s">
        <v>8</v>
      </c>
      <c r="H13" s="4" t="s">
        <v>9</v>
      </c>
      <c r="I13" s="57" t="s">
        <v>319</v>
      </c>
      <c r="J13" s="58">
        <f>SUM(J15:J1033)</f>
        <v>6540.41</v>
      </c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9" t="s">
        <v>10</v>
      </c>
      <c r="B14" s="10"/>
      <c r="C14" s="10"/>
      <c r="D14" s="10"/>
      <c r="E14" s="10"/>
      <c r="F14" s="10"/>
      <c r="G14" s="11"/>
      <c r="H14" s="2" t="s">
        <v>11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2" t="s">
        <v>12</v>
      </c>
      <c r="B15" s="3" t="s">
        <v>13</v>
      </c>
      <c r="C15" s="13" t="s">
        <v>14</v>
      </c>
      <c r="D15" s="14" t="s">
        <v>15</v>
      </c>
      <c r="E15" s="13">
        <v>4.0</v>
      </c>
      <c r="F15" s="15">
        <v>113.3</v>
      </c>
      <c r="G15" s="15">
        <f t="shared" ref="G15:G30" si="1">E15*F15</f>
        <v>453.2</v>
      </c>
      <c r="H15" s="3"/>
      <c r="I15" s="61" t="s">
        <v>320</v>
      </c>
      <c r="J15" s="58">
        <f>sum(G15:G32)</f>
        <v>1095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6"/>
      <c r="B16" s="3" t="s">
        <v>16</v>
      </c>
      <c r="C16" s="13" t="s">
        <v>17</v>
      </c>
      <c r="D16" s="14">
        <v>283828.0</v>
      </c>
      <c r="E16" s="13">
        <v>1.0</v>
      </c>
      <c r="F16" s="15">
        <v>190.88</v>
      </c>
      <c r="G16" s="15">
        <f t="shared" si="1"/>
        <v>190.88</v>
      </c>
      <c r="H16" s="3" t="s">
        <v>18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6"/>
      <c r="B17" s="3" t="s">
        <v>19</v>
      </c>
      <c r="C17" s="13" t="s">
        <v>17</v>
      </c>
      <c r="D17" s="14">
        <v>110322.0</v>
      </c>
      <c r="E17" s="13">
        <v>1.0</v>
      </c>
      <c r="F17" s="15">
        <v>63.13</v>
      </c>
      <c r="G17" s="15">
        <f t="shared" si="1"/>
        <v>63.13</v>
      </c>
      <c r="H17" s="3" t="s">
        <v>20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6"/>
      <c r="B18" s="3" t="s">
        <v>21</v>
      </c>
      <c r="C18" s="13" t="s">
        <v>22</v>
      </c>
      <c r="D18" s="14" t="s">
        <v>23</v>
      </c>
      <c r="E18" s="13">
        <v>1.0</v>
      </c>
      <c r="F18" s="15">
        <v>6.67</v>
      </c>
      <c r="G18" s="15">
        <f t="shared" si="1"/>
        <v>6.67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6"/>
      <c r="B19" s="3" t="s">
        <v>24</v>
      </c>
      <c r="C19" s="13" t="s">
        <v>22</v>
      </c>
      <c r="D19" s="14" t="s">
        <v>25</v>
      </c>
      <c r="E19" s="13">
        <v>1.0</v>
      </c>
      <c r="F19" s="15">
        <v>15.63</v>
      </c>
      <c r="G19" s="15">
        <f t="shared" si="1"/>
        <v>15.63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6"/>
      <c r="B20" s="3" t="s">
        <v>26</v>
      </c>
      <c r="C20" s="13" t="s">
        <v>22</v>
      </c>
      <c r="D20" s="14" t="s">
        <v>27</v>
      </c>
      <c r="E20" s="13">
        <v>1.0</v>
      </c>
      <c r="F20" s="15">
        <v>17.4</v>
      </c>
      <c r="G20" s="15">
        <f t="shared" si="1"/>
        <v>17.4</v>
      </c>
      <c r="H20" s="3" t="s">
        <v>28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6"/>
      <c r="B21" s="3" t="s">
        <v>29</v>
      </c>
      <c r="C21" s="13" t="s">
        <v>22</v>
      </c>
      <c r="D21" s="14" t="s">
        <v>30</v>
      </c>
      <c r="E21" s="13">
        <v>1.0</v>
      </c>
      <c r="F21" s="15">
        <v>3.04</v>
      </c>
      <c r="G21" s="15">
        <f t="shared" si="1"/>
        <v>3.04</v>
      </c>
      <c r="H21" s="3" t="s">
        <v>31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6"/>
      <c r="B22" s="3" t="s">
        <v>32</v>
      </c>
      <c r="C22" s="13" t="s">
        <v>22</v>
      </c>
      <c r="D22" s="14" t="s">
        <v>33</v>
      </c>
      <c r="E22" s="13">
        <v>1.0</v>
      </c>
      <c r="F22" s="15">
        <v>19.62</v>
      </c>
      <c r="G22" s="15">
        <f t="shared" si="1"/>
        <v>19.62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6"/>
      <c r="B23" s="3" t="s">
        <v>34</v>
      </c>
      <c r="C23" s="13" t="s">
        <v>22</v>
      </c>
      <c r="D23" s="14" t="s">
        <v>35</v>
      </c>
      <c r="E23" s="13">
        <v>1.0</v>
      </c>
      <c r="F23" s="15">
        <v>19.62</v>
      </c>
      <c r="G23" s="15">
        <f t="shared" si="1"/>
        <v>19.62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6"/>
      <c r="B24" s="3" t="s">
        <v>36</v>
      </c>
      <c r="C24" s="13" t="s">
        <v>22</v>
      </c>
      <c r="D24" s="14" t="s">
        <v>37</v>
      </c>
      <c r="E24" s="13">
        <v>1.0</v>
      </c>
      <c r="F24" s="15">
        <v>10.0</v>
      </c>
      <c r="G24" s="15">
        <f t="shared" si="1"/>
        <v>10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6"/>
      <c r="B25" s="3" t="s">
        <v>38</v>
      </c>
      <c r="C25" s="13" t="s">
        <v>39</v>
      </c>
      <c r="D25" s="14" t="s">
        <v>40</v>
      </c>
      <c r="E25" s="13">
        <v>10.0</v>
      </c>
      <c r="F25" s="15">
        <v>16.58</v>
      </c>
      <c r="G25" s="15">
        <f t="shared" si="1"/>
        <v>165.8</v>
      </c>
      <c r="H25" s="3" t="s">
        <v>41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6"/>
      <c r="B26" s="3" t="s">
        <v>42</v>
      </c>
      <c r="C26" s="13" t="s">
        <v>22</v>
      </c>
      <c r="D26" s="14" t="s">
        <v>321</v>
      </c>
      <c r="E26" s="13">
        <v>1.0</v>
      </c>
      <c r="F26" s="15">
        <v>10.86</v>
      </c>
      <c r="G26" s="15">
        <f t="shared" si="1"/>
        <v>10.86</v>
      </c>
      <c r="H26" s="3" t="s">
        <v>44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6"/>
      <c r="B27" s="3" t="s">
        <v>45</v>
      </c>
      <c r="C27" s="13" t="s">
        <v>46</v>
      </c>
      <c r="D27" s="14" t="s">
        <v>47</v>
      </c>
      <c r="E27" s="13">
        <v>1.0</v>
      </c>
      <c r="F27" s="15">
        <v>5.29</v>
      </c>
      <c r="G27" s="15">
        <f t="shared" si="1"/>
        <v>5.29</v>
      </c>
      <c r="H27" s="3" t="s">
        <v>48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6"/>
      <c r="B28" s="3"/>
      <c r="C28" s="13"/>
      <c r="D28" s="17"/>
      <c r="E28" s="13"/>
      <c r="F28" s="13"/>
      <c r="G28" s="13">
        <f t="shared" si="1"/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6"/>
      <c r="B29" s="18" t="s">
        <v>49</v>
      </c>
      <c r="C29" s="13" t="s">
        <v>22</v>
      </c>
      <c r="D29" s="14" t="s">
        <v>50</v>
      </c>
      <c r="E29" s="13">
        <v>2.0</v>
      </c>
      <c r="F29" s="15">
        <v>12.98</v>
      </c>
      <c r="G29" s="15">
        <f t="shared" si="1"/>
        <v>25.96</v>
      </c>
      <c r="H29" s="3" t="s">
        <v>51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9"/>
      <c r="B30" s="20" t="s">
        <v>52</v>
      </c>
      <c r="C30" s="21" t="s">
        <v>14</v>
      </c>
      <c r="D30" s="22" t="s">
        <v>53</v>
      </c>
      <c r="E30" s="21">
        <v>1.0</v>
      </c>
      <c r="F30" s="23">
        <v>87.9</v>
      </c>
      <c r="G30" s="23">
        <f t="shared" si="1"/>
        <v>87.9</v>
      </c>
      <c r="H30" s="20" t="s">
        <v>54</v>
      </c>
      <c r="I30" s="20"/>
      <c r="J30" s="20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7"/>
      <c r="B31" s="3"/>
      <c r="C31" s="13"/>
      <c r="D31" s="17"/>
      <c r="E31" s="13"/>
      <c r="F31" s="13"/>
      <c r="G31" s="1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7"/>
      <c r="B32" s="3"/>
      <c r="C32" s="13"/>
      <c r="D32" s="17"/>
      <c r="E32" s="13"/>
      <c r="F32" s="13"/>
      <c r="G32" s="13">
        <f>E32*F32</f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2" t="s">
        <v>55</v>
      </c>
      <c r="B33" s="3" t="s">
        <v>56</v>
      </c>
      <c r="C33" s="13" t="s">
        <v>57</v>
      </c>
      <c r="D33" s="17" t="s">
        <v>289</v>
      </c>
      <c r="E33" s="13">
        <v>5.0</v>
      </c>
      <c r="F33" s="13"/>
      <c r="G33" s="1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6"/>
      <c r="B34" s="3" t="s">
        <v>59</v>
      </c>
      <c r="C34" s="13" t="s">
        <v>57</v>
      </c>
      <c r="D34" s="17" t="s">
        <v>289</v>
      </c>
      <c r="E34" s="13">
        <v>1.0</v>
      </c>
      <c r="F34" s="13"/>
      <c r="G34" s="1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6"/>
      <c r="B35" s="3" t="s">
        <v>61</v>
      </c>
      <c r="C35" s="13" t="s">
        <v>62</v>
      </c>
      <c r="D35" s="17" t="s">
        <v>289</v>
      </c>
      <c r="E35" s="13">
        <v>1.0</v>
      </c>
      <c r="F35" s="13"/>
      <c r="G35" s="1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6"/>
      <c r="B36" s="3" t="s">
        <v>64</v>
      </c>
      <c r="C36" s="13" t="s">
        <v>62</v>
      </c>
      <c r="D36" s="17" t="s">
        <v>289</v>
      </c>
      <c r="E36" s="13">
        <v>1.0</v>
      </c>
      <c r="F36" s="13"/>
      <c r="G36" s="1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6"/>
      <c r="B37" s="3" t="s">
        <v>106</v>
      </c>
      <c r="C37" s="13" t="s">
        <v>62</v>
      </c>
      <c r="D37" s="17" t="s">
        <v>289</v>
      </c>
      <c r="E37" s="13">
        <v>1.0</v>
      </c>
      <c r="F37" s="13"/>
      <c r="G37" s="1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6"/>
      <c r="B38" s="3" t="s">
        <v>68</v>
      </c>
      <c r="C38" s="13" t="s">
        <v>62</v>
      </c>
      <c r="D38" s="17" t="s">
        <v>289</v>
      </c>
      <c r="E38" s="13">
        <v>1.0</v>
      </c>
      <c r="F38" s="13"/>
      <c r="G38" s="1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6"/>
      <c r="B39" s="3" t="s">
        <v>70</v>
      </c>
      <c r="C39" s="13" t="s">
        <v>57</v>
      </c>
      <c r="D39" s="17" t="s">
        <v>289</v>
      </c>
      <c r="E39" s="13">
        <v>1.0</v>
      </c>
      <c r="F39" s="13"/>
      <c r="G39" s="1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6"/>
      <c r="B40" s="3" t="s">
        <v>72</v>
      </c>
      <c r="C40" s="13" t="s">
        <v>62</v>
      </c>
      <c r="D40" s="17" t="s">
        <v>289</v>
      </c>
      <c r="E40" s="13">
        <v>5.0</v>
      </c>
      <c r="F40" s="13"/>
      <c r="G40" s="1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6"/>
      <c r="D41" s="24"/>
      <c r="F41" s="13"/>
      <c r="G41" s="1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6"/>
      <c r="B42" s="3" t="s">
        <v>74</v>
      </c>
      <c r="C42" s="13" t="s">
        <v>62</v>
      </c>
      <c r="D42" s="17" t="s">
        <v>289</v>
      </c>
      <c r="E42" s="13">
        <v>1.0</v>
      </c>
      <c r="F42" s="13"/>
      <c r="G42" s="1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6"/>
      <c r="B43" s="3" t="s">
        <v>76</v>
      </c>
      <c r="C43" s="13" t="s">
        <v>62</v>
      </c>
      <c r="D43" s="17" t="s">
        <v>289</v>
      </c>
      <c r="E43" s="13">
        <v>1.0</v>
      </c>
      <c r="F43" s="13"/>
      <c r="G43" s="1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6"/>
      <c r="B44" s="3" t="s">
        <v>78</v>
      </c>
      <c r="C44" s="13" t="s">
        <v>62</v>
      </c>
      <c r="D44" s="17" t="s">
        <v>289</v>
      </c>
      <c r="E44" s="13">
        <v>2.0</v>
      </c>
      <c r="F44" s="13"/>
      <c r="G44" s="1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6"/>
      <c r="B45" s="3" t="s">
        <v>80</v>
      </c>
      <c r="C45" s="13" t="s">
        <v>62</v>
      </c>
      <c r="D45" s="17" t="s">
        <v>289</v>
      </c>
      <c r="E45" s="13">
        <v>2.0</v>
      </c>
      <c r="F45" s="13"/>
      <c r="G45" s="1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6"/>
      <c r="D46" s="24"/>
      <c r="F46" s="13"/>
      <c r="G46" s="1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6"/>
      <c r="B47" s="3" t="s">
        <v>82</v>
      </c>
      <c r="C47" s="13" t="s">
        <v>57</v>
      </c>
      <c r="D47" s="17" t="s">
        <v>289</v>
      </c>
      <c r="E47" s="13">
        <v>4.0</v>
      </c>
      <c r="F47" s="13"/>
      <c r="G47" s="1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6"/>
      <c r="B48" s="26" t="s">
        <v>322</v>
      </c>
      <c r="C48" s="13" t="s">
        <v>62</v>
      </c>
      <c r="D48" s="24" t="s">
        <v>289</v>
      </c>
      <c r="E48" s="37">
        <v>2.0</v>
      </c>
      <c r="F48" s="13"/>
      <c r="G48" s="1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9"/>
      <c r="D49" s="24"/>
      <c r="F49" s="13"/>
      <c r="G49" s="1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7"/>
      <c r="B50" s="3"/>
      <c r="C50" s="13"/>
      <c r="D50" s="17"/>
      <c r="E50" s="13"/>
      <c r="F50" s="13"/>
      <c r="G50" s="1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62"/>
      <c r="B51" s="63"/>
      <c r="C51" s="63"/>
      <c r="D51" s="64"/>
      <c r="E51" s="63"/>
      <c r="F51" s="63"/>
      <c r="G51" s="6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5" t="s">
        <v>95</v>
      </c>
      <c r="B52" s="10"/>
      <c r="C52" s="10"/>
      <c r="D52" s="10"/>
      <c r="E52" s="10"/>
      <c r="F52" s="10"/>
      <c r="G52" s="11"/>
      <c r="H52" s="2" t="s">
        <v>96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6" t="s">
        <v>12</v>
      </c>
      <c r="B53" s="3" t="s">
        <v>13</v>
      </c>
      <c r="C53" s="13" t="s">
        <v>14</v>
      </c>
      <c r="D53" s="14" t="s">
        <v>15</v>
      </c>
      <c r="E53" s="13">
        <v>3.0</v>
      </c>
      <c r="F53" s="15">
        <v>113.3</v>
      </c>
      <c r="G53" s="15">
        <f t="shared" ref="G53:G72" si="2">E53*F53</f>
        <v>339.9</v>
      </c>
      <c r="H53" s="3"/>
      <c r="I53" s="61" t="s">
        <v>320</v>
      </c>
      <c r="J53" s="58">
        <f>sum(G53:G73)</f>
        <v>1918.08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6"/>
      <c r="B54" s="3" t="s">
        <v>16</v>
      </c>
      <c r="C54" s="13" t="s">
        <v>17</v>
      </c>
      <c r="D54" s="14">
        <v>283828.0</v>
      </c>
      <c r="E54" s="13">
        <v>4.0</v>
      </c>
      <c r="F54" s="15">
        <v>190.88</v>
      </c>
      <c r="G54" s="15">
        <f t="shared" si="2"/>
        <v>763.52</v>
      </c>
      <c r="H54" s="3" t="s">
        <v>18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6"/>
      <c r="B55" s="3" t="s">
        <v>19</v>
      </c>
      <c r="C55" s="13" t="s">
        <v>17</v>
      </c>
      <c r="D55" s="14">
        <v>110322.0</v>
      </c>
      <c r="E55" s="13">
        <v>4.0</v>
      </c>
      <c r="F55" s="15">
        <v>63.13</v>
      </c>
      <c r="G55" s="15">
        <f t="shared" si="2"/>
        <v>252.52</v>
      </c>
      <c r="H55" s="3" t="s">
        <v>20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6"/>
      <c r="B56" s="3" t="s">
        <v>21</v>
      </c>
      <c r="C56" s="13" t="s">
        <v>22</v>
      </c>
      <c r="D56" s="14" t="s">
        <v>23</v>
      </c>
      <c r="E56" s="13">
        <v>6.0</v>
      </c>
      <c r="F56" s="15">
        <v>6.67</v>
      </c>
      <c r="G56" s="15">
        <f t="shared" si="2"/>
        <v>40.02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6"/>
      <c r="B57" s="3" t="s">
        <v>24</v>
      </c>
      <c r="C57" s="13" t="s">
        <v>22</v>
      </c>
      <c r="D57" s="14" t="s">
        <v>25</v>
      </c>
      <c r="E57" s="13">
        <v>3.0</v>
      </c>
      <c r="F57" s="15">
        <v>15.63</v>
      </c>
      <c r="G57" s="15">
        <f t="shared" si="2"/>
        <v>46.89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6"/>
      <c r="B58" s="3" t="s">
        <v>26</v>
      </c>
      <c r="C58" s="13" t="s">
        <v>22</v>
      </c>
      <c r="D58" s="14" t="s">
        <v>27</v>
      </c>
      <c r="E58" s="13">
        <v>1.0</v>
      </c>
      <c r="F58" s="15">
        <v>17.4</v>
      </c>
      <c r="G58" s="15">
        <f t="shared" si="2"/>
        <v>17.4</v>
      </c>
      <c r="H58" s="3" t="s">
        <v>28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6"/>
      <c r="B59" s="3" t="s">
        <v>29</v>
      </c>
      <c r="C59" s="13" t="s">
        <v>22</v>
      </c>
      <c r="D59" s="14" t="s">
        <v>30</v>
      </c>
      <c r="E59" s="13">
        <v>1.0</v>
      </c>
      <c r="F59" s="15">
        <v>3.04</v>
      </c>
      <c r="G59" s="15">
        <f t="shared" si="2"/>
        <v>3.04</v>
      </c>
      <c r="H59" s="3" t="s">
        <v>31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6"/>
      <c r="B60" s="3" t="s">
        <v>32</v>
      </c>
      <c r="C60" s="13" t="s">
        <v>22</v>
      </c>
      <c r="D60" s="14" t="s">
        <v>33</v>
      </c>
      <c r="E60" s="13">
        <v>4.0</v>
      </c>
      <c r="F60" s="15">
        <v>19.62</v>
      </c>
      <c r="G60" s="15">
        <f t="shared" si="2"/>
        <v>78.48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6"/>
      <c r="B61" s="3" t="s">
        <v>34</v>
      </c>
      <c r="C61" s="13" t="s">
        <v>22</v>
      </c>
      <c r="D61" s="14" t="s">
        <v>35</v>
      </c>
      <c r="E61" s="13">
        <v>4.0</v>
      </c>
      <c r="F61" s="15">
        <v>19.62</v>
      </c>
      <c r="G61" s="15">
        <f t="shared" si="2"/>
        <v>78.48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6"/>
      <c r="B62" s="3" t="s">
        <v>36</v>
      </c>
      <c r="C62" s="13" t="s">
        <v>22</v>
      </c>
      <c r="D62" s="14" t="s">
        <v>37</v>
      </c>
      <c r="E62" s="13">
        <v>3.0</v>
      </c>
      <c r="F62" s="15">
        <v>10.0</v>
      </c>
      <c r="G62" s="15">
        <f t="shared" si="2"/>
        <v>30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6"/>
      <c r="B63" s="3" t="s">
        <v>38</v>
      </c>
      <c r="C63" s="13" t="s">
        <v>39</v>
      </c>
      <c r="D63" s="14" t="s">
        <v>40</v>
      </c>
      <c r="E63" s="13">
        <v>6.0</v>
      </c>
      <c r="F63" s="15">
        <v>16.58</v>
      </c>
      <c r="G63" s="15">
        <f t="shared" si="2"/>
        <v>99.48</v>
      </c>
      <c r="H63" s="3" t="s">
        <v>41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6"/>
      <c r="B64" s="3" t="s">
        <v>42</v>
      </c>
      <c r="C64" s="13" t="s">
        <v>22</v>
      </c>
      <c r="D64" s="14" t="s">
        <v>321</v>
      </c>
      <c r="E64" s="13">
        <v>1.0</v>
      </c>
      <c r="F64" s="15">
        <v>10.86</v>
      </c>
      <c r="G64" s="15">
        <f t="shared" si="2"/>
        <v>10.86</v>
      </c>
      <c r="H64" s="3" t="s">
        <v>44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6"/>
      <c r="B65" s="3" t="s">
        <v>45</v>
      </c>
      <c r="C65" s="13" t="s">
        <v>46</v>
      </c>
      <c r="D65" s="14" t="s">
        <v>47</v>
      </c>
      <c r="E65" s="13">
        <v>1.0</v>
      </c>
      <c r="F65" s="15">
        <v>5.29</v>
      </c>
      <c r="G65" s="15">
        <f t="shared" si="2"/>
        <v>5.29</v>
      </c>
      <c r="H65" s="3" t="s">
        <v>48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6"/>
      <c r="B66" s="3"/>
      <c r="C66" s="13"/>
      <c r="D66" s="17"/>
      <c r="E66" s="13"/>
      <c r="F66" s="13"/>
      <c r="G66" s="13">
        <f t="shared" si="2"/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6"/>
      <c r="B67" s="18" t="s">
        <v>49</v>
      </c>
      <c r="C67" s="13" t="s">
        <v>22</v>
      </c>
      <c r="D67" s="14" t="s">
        <v>50</v>
      </c>
      <c r="E67" s="13">
        <v>2.0</v>
      </c>
      <c r="F67" s="15">
        <v>12.98</v>
      </c>
      <c r="G67" s="15">
        <f t="shared" si="2"/>
        <v>25.96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6"/>
      <c r="B68" s="3" t="s">
        <v>52</v>
      </c>
      <c r="C68" s="13" t="s">
        <v>14</v>
      </c>
      <c r="D68" s="14" t="s">
        <v>53</v>
      </c>
      <c r="E68" s="13">
        <v>1.0</v>
      </c>
      <c r="F68" s="15">
        <v>87.9</v>
      </c>
      <c r="G68" s="15">
        <f t="shared" si="2"/>
        <v>87.9</v>
      </c>
      <c r="H68" s="3" t="s">
        <v>54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6"/>
      <c r="B69" s="3"/>
      <c r="C69" s="13"/>
      <c r="D69" s="17"/>
      <c r="E69" s="13"/>
      <c r="F69" s="13"/>
      <c r="G69" s="13">
        <f t="shared" si="2"/>
        <v>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6"/>
      <c r="B70" s="3" t="s">
        <v>97</v>
      </c>
      <c r="C70" s="13" t="s">
        <v>22</v>
      </c>
      <c r="D70" s="14" t="s">
        <v>98</v>
      </c>
      <c r="E70" s="13">
        <v>1.0</v>
      </c>
      <c r="F70" s="15">
        <v>23.34</v>
      </c>
      <c r="G70" s="15">
        <f t="shared" si="2"/>
        <v>23.34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6"/>
      <c r="B71" s="26" t="s">
        <v>99</v>
      </c>
      <c r="C71" s="13" t="s">
        <v>22</v>
      </c>
      <c r="D71" s="14" t="s">
        <v>100</v>
      </c>
      <c r="E71" s="13">
        <v>1.0</v>
      </c>
      <c r="F71" s="15">
        <v>3.51</v>
      </c>
      <c r="G71" s="15">
        <f t="shared" si="2"/>
        <v>3.51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6"/>
      <c r="B72" s="3" t="s">
        <v>101</v>
      </c>
      <c r="C72" s="17" t="s">
        <v>102</v>
      </c>
      <c r="D72" s="14" t="s">
        <v>103</v>
      </c>
      <c r="E72" s="13">
        <v>1.0</v>
      </c>
      <c r="F72" s="15">
        <v>11.49</v>
      </c>
      <c r="G72" s="15">
        <f t="shared" si="2"/>
        <v>11.49</v>
      </c>
      <c r="H72" s="3" t="s">
        <v>104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9"/>
      <c r="B73" s="3"/>
      <c r="C73" s="13"/>
      <c r="D73" s="17"/>
      <c r="E73" s="13"/>
      <c r="F73" s="13"/>
      <c r="G73" s="1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6"/>
      <c r="B74" s="3"/>
      <c r="C74" s="13"/>
      <c r="D74" s="17"/>
      <c r="E74" s="13"/>
      <c r="F74" s="13"/>
      <c r="G74" s="1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6"/>
      <c r="B75" s="3"/>
      <c r="C75" s="13"/>
      <c r="D75" s="17"/>
      <c r="E75" s="13"/>
      <c r="F75" s="13"/>
      <c r="G75" s="1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2" t="s">
        <v>55</v>
      </c>
      <c r="B76" s="3" t="s">
        <v>56</v>
      </c>
      <c r="C76" s="13" t="s">
        <v>57</v>
      </c>
      <c r="D76" s="17" t="s">
        <v>289</v>
      </c>
      <c r="E76" s="13">
        <v>3.0</v>
      </c>
      <c r="F76" s="13"/>
      <c r="G76" s="1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6"/>
      <c r="B77" s="3" t="s">
        <v>59</v>
      </c>
      <c r="C77" s="13" t="s">
        <v>57</v>
      </c>
      <c r="D77" s="17" t="s">
        <v>289</v>
      </c>
      <c r="E77" s="13">
        <v>3.0</v>
      </c>
      <c r="F77" s="13"/>
      <c r="G77" s="1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6"/>
      <c r="B78" s="3" t="s">
        <v>61</v>
      </c>
      <c r="C78" s="13" t="s">
        <v>62</v>
      </c>
      <c r="D78" s="17" t="s">
        <v>289</v>
      </c>
      <c r="E78" s="13">
        <v>3.0</v>
      </c>
      <c r="F78" s="13"/>
      <c r="G78" s="1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6"/>
      <c r="B79" s="3" t="s">
        <v>105</v>
      </c>
      <c r="C79" s="13" t="s">
        <v>62</v>
      </c>
      <c r="D79" s="17" t="s">
        <v>289</v>
      </c>
      <c r="E79" s="13">
        <v>4.0</v>
      </c>
      <c r="F79" s="13"/>
      <c r="G79" s="1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6"/>
      <c r="B80" s="3" t="s">
        <v>106</v>
      </c>
      <c r="C80" s="13" t="s">
        <v>62</v>
      </c>
      <c r="D80" s="17" t="s">
        <v>289</v>
      </c>
      <c r="E80" s="13">
        <v>3.0</v>
      </c>
      <c r="F80" s="13"/>
      <c r="G80" s="1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6"/>
      <c r="B81" s="3" t="s">
        <v>68</v>
      </c>
      <c r="C81" s="13" t="s">
        <v>62</v>
      </c>
      <c r="D81" s="17" t="s">
        <v>289</v>
      </c>
      <c r="E81" s="13">
        <v>3.0</v>
      </c>
      <c r="F81" s="13"/>
      <c r="G81" s="1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6"/>
      <c r="B82" s="3" t="s">
        <v>323</v>
      </c>
      <c r="C82" s="13" t="s">
        <v>57</v>
      </c>
      <c r="D82" s="17" t="s">
        <v>289</v>
      </c>
      <c r="E82" s="13">
        <v>3.0</v>
      </c>
      <c r="F82" s="13"/>
      <c r="G82" s="1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6"/>
      <c r="B83" s="3" t="s">
        <v>72</v>
      </c>
      <c r="C83" s="13" t="s">
        <v>62</v>
      </c>
      <c r="D83" s="17" t="s">
        <v>289</v>
      </c>
      <c r="E83" s="13">
        <v>5.0</v>
      </c>
      <c r="F83" s="13"/>
      <c r="G83" s="1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6"/>
      <c r="B84" s="3"/>
      <c r="C84" s="13"/>
      <c r="D84" s="17"/>
      <c r="E84" s="13"/>
      <c r="F84" s="13"/>
      <c r="G84" s="1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6"/>
      <c r="B85" s="3" t="s">
        <v>74</v>
      </c>
      <c r="C85" s="13" t="s">
        <v>62</v>
      </c>
      <c r="D85" s="17" t="s">
        <v>289</v>
      </c>
      <c r="E85" s="13">
        <v>1.0</v>
      </c>
      <c r="F85" s="13"/>
      <c r="G85" s="1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6"/>
      <c r="B86" s="3" t="s">
        <v>76</v>
      </c>
      <c r="C86" s="13" t="s">
        <v>62</v>
      </c>
      <c r="D86" s="17" t="s">
        <v>289</v>
      </c>
      <c r="E86" s="13">
        <v>1.0</v>
      </c>
      <c r="F86" s="13"/>
      <c r="G86" s="1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6"/>
      <c r="B87" s="3" t="s">
        <v>78</v>
      </c>
      <c r="C87" s="13" t="s">
        <v>62</v>
      </c>
      <c r="D87" s="17" t="s">
        <v>289</v>
      </c>
      <c r="E87" s="13">
        <v>2.0</v>
      </c>
      <c r="F87" s="13"/>
      <c r="G87" s="1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6"/>
      <c r="B88" s="3" t="s">
        <v>80</v>
      </c>
      <c r="C88" s="13" t="s">
        <v>62</v>
      </c>
      <c r="D88" s="17" t="s">
        <v>289</v>
      </c>
      <c r="E88" s="13">
        <v>2.0</v>
      </c>
      <c r="F88" s="13"/>
      <c r="G88" s="1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6"/>
      <c r="B89" s="3"/>
      <c r="C89" s="13"/>
      <c r="D89" s="17"/>
      <c r="E89" s="13"/>
      <c r="F89" s="13"/>
      <c r="G89" s="1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6"/>
      <c r="B90" s="3" t="s">
        <v>114</v>
      </c>
      <c r="C90" s="13" t="s">
        <v>62</v>
      </c>
      <c r="D90" s="17" t="s">
        <v>289</v>
      </c>
      <c r="E90" s="13">
        <v>1.0</v>
      </c>
      <c r="F90" s="13"/>
      <c r="G90" s="1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6"/>
      <c r="B91" s="3" t="s">
        <v>116</v>
      </c>
      <c r="C91" s="13" t="s">
        <v>62</v>
      </c>
      <c r="D91" s="17" t="s">
        <v>289</v>
      </c>
      <c r="E91" s="13">
        <v>1.0</v>
      </c>
      <c r="F91" s="13"/>
      <c r="G91" s="1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6"/>
      <c r="B92" s="3"/>
      <c r="C92" s="13"/>
      <c r="D92" s="17"/>
      <c r="E92" s="13"/>
      <c r="F92" s="13"/>
      <c r="G92" s="1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9"/>
      <c r="B93" s="3"/>
      <c r="C93" s="13"/>
      <c r="D93" s="17"/>
      <c r="E93" s="13"/>
      <c r="F93" s="13"/>
      <c r="G93" s="1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5"/>
      <c r="B94" s="63"/>
      <c r="C94" s="63"/>
      <c r="D94" s="64"/>
      <c r="E94" s="63"/>
      <c r="F94" s="63"/>
      <c r="G94" s="6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5" t="s">
        <v>220</v>
      </c>
      <c r="B95" s="10"/>
      <c r="C95" s="10"/>
      <c r="D95" s="10"/>
      <c r="E95" s="10"/>
      <c r="F95" s="10"/>
      <c r="G95" s="11"/>
      <c r="H95" s="2" t="s">
        <v>324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2" t="s">
        <v>12</v>
      </c>
      <c r="B96" s="3" t="s">
        <v>325</v>
      </c>
      <c r="C96" s="13" t="s">
        <v>22</v>
      </c>
      <c r="D96" s="14" t="s">
        <v>223</v>
      </c>
      <c r="E96" s="13">
        <v>1.0</v>
      </c>
      <c r="F96" s="15">
        <v>7.7</v>
      </c>
      <c r="G96" s="15">
        <f t="shared" ref="G96:G102" si="3">E96*F96</f>
        <v>7.7</v>
      </c>
      <c r="H96" s="3"/>
      <c r="I96" s="61" t="s">
        <v>320</v>
      </c>
      <c r="J96" s="58">
        <f>sum(G96:G100)</f>
        <v>38.18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6"/>
      <c r="B97" s="3" t="s">
        <v>224</v>
      </c>
      <c r="C97" s="13" t="s">
        <v>225</v>
      </c>
      <c r="D97" s="14" t="s">
        <v>226</v>
      </c>
      <c r="E97" s="13">
        <v>1.0</v>
      </c>
      <c r="F97" s="15">
        <v>18.99</v>
      </c>
      <c r="G97" s="15">
        <f t="shared" si="3"/>
        <v>18.99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6"/>
      <c r="B98" s="3" t="s">
        <v>227</v>
      </c>
      <c r="C98" s="17" t="s">
        <v>102</v>
      </c>
      <c r="D98" s="14" t="s">
        <v>103</v>
      </c>
      <c r="E98" s="13">
        <v>1.0</v>
      </c>
      <c r="F98" s="15">
        <v>11.49</v>
      </c>
      <c r="G98" s="15">
        <f t="shared" si="3"/>
        <v>11.49</v>
      </c>
      <c r="H98" s="3" t="s">
        <v>228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9"/>
      <c r="B99" s="3"/>
      <c r="C99" s="13"/>
      <c r="D99" s="17"/>
      <c r="E99" s="13"/>
      <c r="F99" s="13"/>
      <c r="G99" s="13">
        <f t="shared" si="3"/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6"/>
      <c r="B100" s="3"/>
      <c r="C100" s="13"/>
      <c r="D100" s="17"/>
      <c r="E100" s="13"/>
      <c r="F100" s="13"/>
      <c r="G100" s="13">
        <f t="shared" si="3"/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2" t="s">
        <v>55</v>
      </c>
      <c r="B101" s="3" t="s">
        <v>326</v>
      </c>
      <c r="C101" s="13" t="s">
        <v>62</v>
      </c>
      <c r="D101" s="17" t="s">
        <v>289</v>
      </c>
      <c r="E101" s="13">
        <v>1.0</v>
      </c>
      <c r="F101" s="13"/>
      <c r="G101" s="13">
        <f t="shared" si="3"/>
        <v>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6"/>
      <c r="B102" s="3" t="s">
        <v>231</v>
      </c>
      <c r="C102" s="13" t="s">
        <v>62</v>
      </c>
      <c r="D102" s="17" t="s">
        <v>289</v>
      </c>
      <c r="E102" s="13">
        <v>1.0</v>
      </c>
      <c r="F102" s="13"/>
      <c r="G102" s="13">
        <f t="shared" si="3"/>
        <v>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6"/>
      <c r="B103" s="3" t="s">
        <v>233</v>
      </c>
      <c r="C103" s="13" t="s">
        <v>62</v>
      </c>
      <c r="D103" s="17" t="s">
        <v>289</v>
      </c>
      <c r="E103" s="13">
        <v>1.0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6"/>
      <c r="B104" s="3" t="s">
        <v>237</v>
      </c>
      <c r="C104" s="13" t="s">
        <v>62</v>
      </c>
      <c r="D104" s="17" t="s">
        <v>289</v>
      </c>
      <c r="E104" s="13">
        <v>1.0</v>
      </c>
      <c r="F104" s="13"/>
      <c r="G104" s="13">
        <f>E104*F104</f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6"/>
      <c r="D105" s="24"/>
      <c r="F105" s="13"/>
      <c r="G105" s="13">
        <f>E106*F105</f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6"/>
      <c r="B106" s="3" t="s">
        <v>239</v>
      </c>
      <c r="C106" s="13" t="s">
        <v>240</v>
      </c>
      <c r="D106" s="17" t="s">
        <v>327</v>
      </c>
      <c r="E106" s="13">
        <v>1.0</v>
      </c>
      <c r="F106" s="13"/>
      <c r="G106" s="13">
        <f t="shared" ref="G106:G109" si="4">E106*F106</f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6"/>
      <c r="B107" s="3" t="s">
        <v>242</v>
      </c>
      <c r="C107" s="13" t="s">
        <v>62</v>
      </c>
      <c r="D107" s="17" t="s">
        <v>289</v>
      </c>
      <c r="E107" s="13">
        <v>1.0</v>
      </c>
      <c r="F107" s="13"/>
      <c r="G107" s="13">
        <f t="shared" si="4"/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6"/>
      <c r="B108" s="3" t="s">
        <v>244</v>
      </c>
      <c r="C108" s="13" t="s">
        <v>62</v>
      </c>
      <c r="D108" s="17" t="s">
        <v>289</v>
      </c>
      <c r="E108" s="13">
        <v>1.0</v>
      </c>
      <c r="F108" s="13"/>
      <c r="G108" s="13">
        <f t="shared" si="4"/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6"/>
      <c r="B109" s="3"/>
      <c r="C109" s="13"/>
      <c r="D109" s="17"/>
      <c r="E109" s="13"/>
      <c r="F109" s="13"/>
      <c r="G109" s="13">
        <f t="shared" si="4"/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6"/>
      <c r="B110" s="3" t="s">
        <v>246</v>
      </c>
      <c r="C110" s="13" t="s">
        <v>62</v>
      </c>
      <c r="D110" s="17" t="s">
        <v>289</v>
      </c>
      <c r="E110" s="13">
        <v>1.0</v>
      </c>
      <c r="F110" s="13"/>
      <c r="G110" s="1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6"/>
      <c r="B111" s="3" t="s">
        <v>248</v>
      </c>
      <c r="C111" s="13" t="s">
        <v>62</v>
      </c>
      <c r="D111" s="17" t="s">
        <v>289</v>
      </c>
      <c r="E111" s="13">
        <v>1.0</v>
      </c>
      <c r="F111" s="13"/>
      <c r="G111" s="1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9"/>
      <c r="B112" s="3" t="s">
        <v>250</v>
      </c>
      <c r="C112" s="13" t="s">
        <v>62</v>
      </c>
      <c r="D112" s="17" t="s">
        <v>289</v>
      </c>
      <c r="E112" s="13">
        <v>1.0</v>
      </c>
      <c r="F112" s="13"/>
      <c r="G112" s="13">
        <f t="shared" ref="G112:G113" si="5">E112*F112</f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6"/>
      <c r="B113" s="3"/>
      <c r="C113" s="13"/>
      <c r="D113" s="17"/>
      <c r="E113" s="13"/>
      <c r="F113" s="13"/>
      <c r="G113" s="13">
        <f t="shared" si="5"/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6"/>
      <c r="B114" s="3"/>
      <c r="C114" s="13"/>
      <c r="D114" s="17"/>
      <c r="E114" s="13"/>
      <c r="F114" s="13"/>
      <c r="G114" s="1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5" t="s">
        <v>278</v>
      </c>
      <c r="B115" s="10"/>
      <c r="C115" s="10"/>
      <c r="D115" s="10"/>
      <c r="E115" s="10"/>
      <c r="F115" s="10"/>
      <c r="G115" s="10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7"/>
      <c r="B116" s="3"/>
      <c r="C116" s="13"/>
      <c r="D116" s="17"/>
      <c r="E116" s="13"/>
      <c r="F116" s="13"/>
      <c r="G116" s="1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2" t="s">
        <v>328</v>
      </c>
      <c r="B117" s="3" t="s">
        <v>280</v>
      </c>
      <c r="C117" s="13"/>
      <c r="D117" s="17"/>
      <c r="E117" s="13"/>
      <c r="F117" s="13"/>
      <c r="G117" s="1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6"/>
      <c r="B118" s="3" t="s">
        <v>282</v>
      </c>
      <c r="C118" s="13" t="s">
        <v>283</v>
      </c>
      <c r="D118" s="14" t="s">
        <v>284</v>
      </c>
      <c r="E118" s="13">
        <v>1.0</v>
      </c>
      <c r="F118" s="15">
        <v>106.0</v>
      </c>
      <c r="G118" s="15">
        <f>E118*F118</f>
        <v>106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6"/>
      <c r="B119" s="3" t="s">
        <v>285</v>
      </c>
      <c r="C119" s="13"/>
      <c r="D119" s="17"/>
      <c r="E119" s="13"/>
      <c r="F119" s="13"/>
      <c r="G119" s="1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6"/>
      <c r="B120" s="3"/>
      <c r="C120" s="13"/>
      <c r="D120" s="17"/>
      <c r="E120" s="13"/>
      <c r="F120" s="13"/>
      <c r="G120" s="1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6"/>
      <c r="B121" s="3"/>
      <c r="C121" s="13"/>
      <c r="D121" s="17"/>
      <c r="E121" s="13"/>
      <c r="F121" s="13"/>
      <c r="G121" s="1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6"/>
      <c r="B122" s="3" t="s">
        <v>286</v>
      </c>
      <c r="C122" s="13"/>
      <c r="D122" s="17"/>
      <c r="E122" s="13"/>
      <c r="F122" s="13"/>
      <c r="G122" s="1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9"/>
      <c r="B123" s="3" t="s">
        <v>288</v>
      </c>
      <c r="C123" s="13"/>
      <c r="D123" s="17"/>
      <c r="E123" s="13"/>
      <c r="F123" s="13"/>
      <c r="G123" s="1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7"/>
      <c r="B124" s="3"/>
      <c r="C124" s="13"/>
      <c r="D124" s="17"/>
      <c r="E124" s="13"/>
      <c r="F124" s="13"/>
      <c r="G124" s="1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7"/>
      <c r="B125" s="3"/>
      <c r="C125" s="13"/>
      <c r="D125" s="17"/>
      <c r="E125" s="13"/>
      <c r="F125" s="13"/>
      <c r="G125" s="1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7"/>
      <c r="B126" s="3"/>
      <c r="C126" s="13"/>
      <c r="D126" s="17"/>
      <c r="E126" s="13"/>
      <c r="F126" s="13"/>
      <c r="G126" s="1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2" t="s">
        <v>329</v>
      </c>
      <c r="B127" s="3" t="s">
        <v>291</v>
      </c>
      <c r="C127" s="13" t="s">
        <v>292</v>
      </c>
      <c r="D127" s="17"/>
      <c r="E127" s="13"/>
      <c r="F127" s="13"/>
      <c r="G127" s="1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6"/>
      <c r="B128" s="3" t="s">
        <v>295</v>
      </c>
      <c r="C128" s="13" t="s">
        <v>292</v>
      </c>
      <c r="D128" s="17"/>
      <c r="E128" s="13"/>
      <c r="F128" s="13"/>
      <c r="G128" s="1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6"/>
      <c r="B129" s="3" t="s">
        <v>296</v>
      </c>
      <c r="C129" s="13" t="s">
        <v>292</v>
      </c>
      <c r="D129" s="17"/>
      <c r="E129" s="13"/>
      <c r="F129" s="13"/>
      <c r="G129" s="1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6"/>
      <c r="B130" s="3" t="s">
        <v>298</v>
      </c>
      <c r="C130" s="13" t="s">
        <v>22</v>
      </c>
      <c r="D130" s="14" t="s">
        <v>299</v>
      </c>
      <c r="E130" s="13">
        <v>1.0</v>
      </c>
      <c r="F130" s="13"/>
      <c r="G130" s="13"/>
      <c r="H130" s="3" t="s">
        <v>300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6"/>
      <c r="B131" s="3" t="s">
        <v>301</v>
      </c>
      <c r="C131" s="13" t="s">
        <v>22</v>
      </c>
      <c r="D131" s="14" t="s">
        <v>302</v>
      </c>
      <c r="E131" s="13">
        <v>1.0</v>
      </c>
      <c r="F131" s="13"/>
      <c r="G131" s="13"/>
      <c r="H131" s="3" t="s">
        <v>300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6"/>
      <c r="B132" s="3" t="s">
        <v>303</v>
      </c>
      <c r="C132" s="13" t="s">
        <v>22</v>
      </c>
      <c r="D132" s="14" t="s">
        <v>304</v>
      </c>
      <c r="E132" s="13">
        <v>1.0</v>
      </c>
      <c r="F132" s="13"/>
      <c r="G132" s="13"/>
      <c r="H132" s="3" t="s">
        <v>300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6"/>
      <c r="B133" s="3" t="s">
        <v>305</v>
      </c>
      <c r="C133" s="13" t="s">
        <v>306</v>
      </c>
      <c r="D133" s="14" t="s">
        <v>307</v>
      </c>
      <c r="E133" s="13">
        <v>1.0</v>
      </c>
      <c r="F133" s="13"/>
      <c r="G133" s="1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9"/>
      <c r="B134" s="3" t="s">
        <v>308</v>
      </c>
      <c r="C134" s="13" t="s">
        <v>309</v>
      </c>
      <c r="D134" s="14" t="s">
        <v>310</v>
      </c>
      <c r="E134" s="13">
        <v>1.0</v>
      </c>
      <c r="F134" s="13"/>
      <c r="G134" s="13"/>
      <c r="H134" s="3" t="s">
        <v>311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7"/>
      <c r="B135" s="3"/>
      <c r="C135" s="13"/>
      <c r="D135" s="17"/>
      <c r="E135" s="13"/>
      <c r="F135" s="13"/>
      <c r="G135" s="1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6"/>
      <c r="B136" s="3"/>
      <c r="C136" s="13"/>
      <c r="D136" s="17"/>
      <c r="E136" s="13"/>
      <c r="F136" s="13"/>
      <c r="G136" s="1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5" t="s">
        <v>253</v>
      </c>
      <c r="B137" s="10"/>
      <c r="C137" s="10"/>
      <c r="D137" s="10"/>
      <c r="E137" s="10"/>
      <c r="F137" s="10"/>
      <c r="G137" s="10"/>
      <c r="H137" s="2" t="s">
        <v>122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2" t="s">
        <v>254</v>
      </c>
      <c r="B138" s="3" t="s">
        <v>255</v>
      </c>
      <c r="C138" s="13" t="s">
        <v>256</v>
      </c>
      <c r="D138" s="14" t="s">
        <v>257</v>
      </c>
      <c r="E138" s="13">
        <v>2.0</v>
      </c>
      <c r="F138" s="15">
        <v>9.98</v>
      </c>
      <c r="G138" s="15">
        <f t="shared" ref="G138:G143" si="6">E138*F138</f>
        <v>19.96</v>
      </c>
      <c r="H138" s="3"/>
      <c r="I138" s="61" t="s">
        <v>320</v>
      </c>
      <c r="J138" s="58">
        <f>G138+ sum(G145:G148)</f>
        <v>39.93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6"/>
      <c r="B139" s="3" t="s">
        <v>330</v>
      </c>
      <c r="C139" s="13" t="s">
        <v>22</v>
      </c>
      <c r="D139" s="14" t="s">
        <v>331</v>
      </c>
      <c r="E139" s="13">
        <v>1.0</v>
      </c>
      <c r="F139" s="15">
        <v>8.89</v>
      </c>
      <c r="G139" s="65">
        <f t="shared" si="6"/>
        <v>8.89</v>
      </c>
      <c r="H139" s="3" t="s">
        <v>332</v>
      </c>
      <c r="I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6"/>
      <c r="B140" s="3" t="s">
        <v>333</v>
      </c>
      <c r="C140" s="13" t="s">
        <v>22</v>
      </c>
      <c r="D140" s="14" t="s">
        <v>334</v>
      </c>
      <c r="E140" s="13">
        <v>1.0</v>
      </c>
      <c r="F140" s="15">
        <v>7.12</v>
      </c>
      <c r="G140" s="65">
        <f t="shared" si="6"/>
        <v>7.12</v>
      </c>
      <c r="H140" s="3" t="s">
        <v>332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6"/>
      <c r="B141" s="3" t="s">
        <v>335</v>
      </c>
      <c r="C141" s="13" t="s">
        <v>22</v>
      </c>
      <c r="D141" s="14" t="s">
        <v>336</v>
      </c>
      <c r="E141" s="13">
        <v>1.0</v>
      </c>
      <c r="F141" s="15">
        <v>6.97</v>
      </c>
      <c r="G141" s="65">
        <f t="shared" si="6"/>
        <v>6.97</v>
      </c>
      <c r="H141" s="3" t="s">
        <v>332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6"/>
      <c r="B142" s="3" t="s">
        <v>337</v>
      </c>
      <c r="C142" s="13" t="s">
        <v>22</v>
      </c>
      <c r="D142" s="14" t="s">
        <v>338</v>
      </c>
      <c r="E142" s="13">
        <v>1.0</v>
      </c>
      <c r="F142" s="15">
        <v>4.34</v>
      </c>
      <c r="G142" s="65">
        <f t="shared" si="6"/>
        <v>4.34</v>
      </c>
      <c r="H142" s="3" t="s">
        <v>332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6"/>
      <c r="B143" s="3" t="s">
        <v>339</v>
      </c>
      <c r="C143" s="13" t="s">
        <v>22</v>
      </c>
      <c r="D143" s="14" t="s">
        <v>340</v>
      </c>
      <c r="E143" s="13">
        <v>1.0</v>
      </c>
      <c r="F143" s="15">
        <v>17.5</v>
      </c>
      <c r="G143" s="65">
        <f t="shared" si="6"/>
        <v>17.5</v>
      </c>
      <c r="H143" s="3" t="s">
        <v>44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6"/>
      <c r="D144" s="24"/>
      <c r="H144" s="3" t="s">
        <v>341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6"/>
      <c r="B145" s="3" t="s">
        <v>258</v>
      </c>
      <c r="C145" s="13" t="s">
        <v>256</v>
      </c>
      <c r="D145" s="14" t="s">
        <v>259</v>
      </c>
      <c r="E145" s="13">
        <v>1.0</v>
      </c>
      <c r="F145" s="15">
        <v>9.99</v>
      </c>
      <c r="G145" s="15">
        <f t="shared" ref="G145:G152" si="7">E145*F145</f>
        <v>9.99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6"/>
      <c r="B146" s="3" t="s">
        <v>260</v>
      </c>
      <c r="C146" s="13" t="s">
        <v>256</v>
      </c>
      <c r="D146" s="14" t="s">
        <v>261</v>
      </c>
      <c r="E146" s="13">
        <v>1.0</v>
      </c>
      <c r="F146" s="15">
        <v>9.98</v>
      </c>
      <c r="G146" s="15">
        <f t="shared" si="7"/>
        <v>9.98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6"/>
      <c r="B147" s="3" t="s">
        <v>262</v>
      </c>
      <c r="C147" s="13"/>
      <c r="D147" s="17"/>
      <c r="E147" s="13"/>
      <c r="F147" s="13"/>
      <c r="G147" s="13">
        <f t="shared" si="7"/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6"/>
      <c r="B148" s="3"/>
      <c r="C148" s="13"/>
      <c r="D148" s="17"/>
      <c r="E148" s="13"/>
      <c r="F148" s="13"/>
      <c r="G148" s="13">
        <f t="shared" si="7"/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6"/>
      <c r="B149" s="3" t="s">
        <v>342</v>
      </c>
      <c r="C149" s="13" t="s">
        <v>264</v>
      </c>
      <c r="D149" s="14" t="s">
        <v>265</v>
      </c>
      <c r="E149" s="13">
        <v>2.0</v>
      </c>
      <c r="F149" s="40">
        <v>149.0</v>
      </c>
      <c r="G149" s="40">
        <f t="shared" si="7"/>
        <v>298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6"/>
      <c r="B150" s="3" t="s">
        <v>343</v>
      </c>
      <c r="C150" s="13" t="s">
        <v>267</v>
      </c>
      <c r="D150" s="17"/>
      <c r="E150" s="13"/>
      <c r="F150" s="13"/>
      <c r="G150" s="13">
        <f t="shared" si="7"/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6"/>
      <c r="B151" s="3"/>
      <c r="C151" s="13"/>
      <c r="D151" s="17"/>
      <c r="E151" s="13"/>
      <c r="F151" s="13"/>
      <c r="G151" s="13">
        <f t="shared" si="7"/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9"/>
      <c r="B152" s="3"/>
      <c r="C152" s="13"/>
      <c r="D152" s="17"/>
      <c r="E152" s="13"/>
      <c r="F152" s="13"/>
      <c r="G152" s="13">
        <f t="shared" si="7"/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6"/>
      <c r="B153" s="3"/>
      <c r="C153" s="13"/>
      <c r="D153" s="17"/>
      <c r="E153" s="13"/>
      <c r="F153" s="13"/>
      <c r="G153" s="1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2" t="s">
        <v>269</v>
      </c>
      <c r="B154" s="3" t="s">
        <v>270</v>
      </c>
      <c r="C154" s="63"/>
      <c r="D154" s="64"/>
      <c r="E154" s="63"/>
      <c r="F154" s="63"/>
      <c r="G154" s="6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6"/>
      <c r="B155" s="3" t="s">
        <v>272</v>
      </c>
      <c r="C155" s="63"/>
      <c r="D155" s="64"/>
      <c r="E155" s="63"/>
      <c r="F155" s="63"/>
      <c r="G155" s="6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6"/>
      <c r="B156" s="3" t="s">
        <v>274</v>
      </c>
      <c r="C156" s="13" t="s">
        <v>275</v>
      </c>
      <c r="D156" s="14">
        <v>12591.0</v>
      </c>
      <c r="E156" s="13">
        <v>1.0</v>
      </c>
      <c r="F156" s="63"/>
      <c r="G156" s="6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9"/>
      <c r="D157" s="24"/>
      <c r="E157" s="63"/>
      <c r="F157" s="63"/>
      <c r="G157" s="6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62"/>
      <c r="B158" s="3"/>
      <c r="C158" s="63"/>
      <c r="D158" s="64"/>
      <c r="E158" s="63"/>
      <c r="F158" s="63"/>
      <c r="G158" s="6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62"/>
      <c r="B159" s="3"/>
      <c r="C159" s="63"/>
      <c r="D159" s="64"/>
      <c r="E159" s="63"/>
      <c r="F159" s="63"/>
      <c r="G159" s="6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62"/>
      <c r="B160" s="3"/>
      <c r="C160" s="63"/>
      <c r="D160" s="64"/>
      <c r="E160" s="63"/>
      <c r="F160" s="63"/>
      <c r="G160" s="6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62"/>
      <c r="B161" s="63"/>
      <c r="C161" s="63"/>
      <c r="D161" s="64"/>
      <c r="E161" s="63"/>
      <c r="F161" s="63"/>
      <c r="G161" s="6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62"/>
      <c r="B162" s="63"/>
      <c r="C162" s="63"/>
      <c r="D162" s="64"/>
      <c r="E162" s="63"/>
      <c r="F162" s="63"/>
      <c r="G162" s="6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62"/>
      <c r="B163" s="63"/>
      <c r="C163" s="63"/>
      <c r="D163" s="64"/>
      <c r="E163" s="63"/>
      <c r="F163" s="63"/>
      <c r="G163" s="6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5" t="s">
        <v>121</v>
      </c>
      <c r="B164" s="10"/>
      <c r="C164" s="10"/>
      <c r="D164" s="10"/>
      <c r="E164" s="10"/>
      <c r="F164" s="10"/>
      <c r="G164" s="10"/>
      <c r="H164" s="2" t="s">
        <v>122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6" t="s">
        <v>12</v>
      </c>
      <c r="B165" s="66" t="s">
        <v>344</v>
      </c>
      <c r="C165" s="13"/>
      <c r="D165" s="17"/>
      <c r="E165" s="13">
        <v>3.0</v>
      </c>
      <c r="F165" s="40">
        <v>933.0</v>
      </c>
      <c r="G165" s="40">
        <f t="shared" ref="G165:G177" si="8">E165*F165</f>
        <v>2799</v>
      </c>
      <c r="H165" s="3"/>
      <c r="I165" s="57" t="s">
        <v>320</v>
      </c>
      <c r="J165" s="58">
        <f>sum(G165:G215)</f>
        <v>3449.22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6"/>
      <c r="B166" s="67" t="s">
        <v>128</v>
      </c>
      <c r="C166" s="13"/>
      <c r="D166" s="17"/>
      <c r="E166" s="13">
        <v>1.0</v>
      </c>
      <c r="F166" s="15">
        <v>17.99</v>
      </c>
      <c r="G166" s="15">
        <f t="shared" si="8"/>
        <v>17.99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6"/>
      <c r="B167" s="66" t="s">
        <v>131</v>
      </c>
      <c r="C167" s="13"/>
      <c r="D167" s="17"/>
      <c r="E167" s="13">
        <v>1.0</v>
      </c>
      <c r="F167" s="15">
        <v>31.99</v>
      </c>
      <c r="G167" s="15">
        <f t="shared" si="8"/>
        <v>31.99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6"/>
      <c r="B168" s="67" t="s">
        <v>138</v>
      </c>
      <c r="C168" s="13"/>
      <c r="D168" s="17"/>
      <c r="E168" s="13">
        <v>12.0</v>
      </c>
      <c r="F168" s="15">
        <v>1.19</v>
      </c>
      <c r="G168" s="15">
        <f t="shared" si="8"/>
        <v>14.28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6"/>
      <c r="B169" s="67" t="s">
        <v>142</v>
      </c>
      <c r="C169" s="13"/>
      <c r="D169" s="17"/>
      <c r="E169" s="13">
        <v>12.0</v>
      </c>
      <c r="F169" s="15">
        <v>0.91</v>
      </c>
      <c r="G169" s="15">
        <f t="shared" si="8"/>
        <v>10.92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6"/>
      <c r="B170" s="67" t="s">
        <v>148</v>
      </c>
      <c r="C170" s="13"/>
      <c r="D170" s="17"/>
      <c r="E170" s="13">
        <v>6.0</v>
      </c>
      <c r="F170" s="15">
        <v>0.95</v>
      </c>
      <c r="G170" s="15">
        <f t="shared" si="8"/>
        <v>5.7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6"/>
      <c r="B171" s="67" t="s">
        <v>345</v>
      </c>
      <c r="C171" s="13"/>
      <c r="D171" s="17"/>
      <c r="E171" s="13">
        <v>1.0</v>
      </c>
      <c r="F171" s="40">
        <v>324.0</v>
      </c>
      <c r="G171" s="40">
        <f t="shared" si="8"/>
        <v>324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6"/>
      <c r="B172" s="67" t="s">
        <v>346</v>
      </c>
      <c r="C172" s="13"/>
      <c r="D172" s="17"/>
      <c r="E172" s="13">
        <v>1.0</v>
      </c>
      <c r="F172" s="15">
        <v>10.99</v>
      </c>
      <c r="G172" s="15">
        <f t="shared" si="8"/>
        <v>10.99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6"/>
      <c r="B173" s="67" t="s">
        <v>153</v>
      </c>
      <c r="C173" s="13"/>
      <c r="D173" s="17"/>
      <c r="E173" s="13">
        <v>1.0</v>
      </c>
      <c r="F173" s="15">
        <v>9.59</v>
      </c>
      <c r="G173" s="15">
        <f t="shared" si="8"/>
        <v>9.59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6"/>
      <c r="B174" s="67" t="s">
        <v>347</v>
      </c>
      <c r="C174" s="13"/>
      <c r="D174" s="17"/>
      <c r="E174" s="13">
        <v>1.0</v>
      </c>
      <c r="F174" s="15">
        <v>8.99</v>
      </c>
      <c r="G174" s="15">
        <f t="shared" si="8"/>
        <v>8.99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6"/>
      <c r="B175" s="67" t="s">
        <v>348</v>
      </c>
      <c r="C175" s="13"/>
      <c r="D175" s="17"/>
      <c r="E175" s="13">
        <v>1.0</v>
      </c>
      <c r="F175" s="15">
        <v>13.49</v>
      </c>
      <c r="G175" s="15">
        <f t="shared" si="8"/>
        <v>13.49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6"/>
      <c r="B176" s="67" t="s">
        <v>349</v>
      </c>
      <c r="C176" s="13"/>
      <c r="D176" s="17"/>
      <c r="E176" s="13">
        <v>1.0</v>
      </c>
      <c r="F176" s="15">
        <v>8.88</v>
      </c>
      <c r="G176" s="15">
        <f t="shared" si="8"/>
        <v>8.88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6"/>
      <c r="B177" s="67" t="s">
        <v>350</v>
      </c>
      <c r="C177" s="13" t="s">
        <v>351</v>
      </c>
      <c r="D177" s="17"/>
      <c r="E177" s="13">
        <v>1.0</v>
      </c>
      <c r="F177" s="15">
        <v>8.99</v>
      </c>
      <c r="G177" s="15">
        <f t="shared" si="8"/>
        <v>8.99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6"/>
      <c r="B178" s="3"/>
      <c r="C178" s="13"/>
      <c r="D178" s="17"/>
      <c r="E178" s="13"/>
      <c r="F178" s="13"/>
      <c r="G178" s="1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6"/>
      <c r="B179" s="3" t="s">
        <v>352</v>
      </c>
      <c r="C179" s="13"/>
      <c r="D179" s="17"/>
      <c r="E179" s="13"/>
      <c r="F179" s="13"/>
      <c r="G179" s="1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6"/>
      <c r="B180" s="68" t="s">
        <v>131</v>
      </c>
      <c r="C180" s="13"/>
      <c r="D180" s="17"/>
      <c r="E180" s="31" t="s">
        <v>353</v>
      </c>
      <c r="F180" s="29">
        <v>29.99</v>
      </c>
      <c r="G180" s="29">
        <f t="shared" ref="G180:G181" si="9">F180</f>
        <v>29.99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6"/>
      <c r="B181" s="28" t="s">
        <v>354</v>
      </c>
      <c r="C181" s="13"/>
      <c r="D181" s="17"/>
      <c r="E181" s="31" t="s">
        <v>355</v>
      </c>
      <c r="F181" s="29">
        <v>33.98</v>
      </c>
      <c r="G181" s="29">
        <f t="shared" si="9"/>
        <v>33.98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6"/>
      <c r="B182" s="28" t="s">
        <v>138</v>
      </c>
      <c r="C182" s="13"/>
      <c r="D182" s="17"/>
      <c r="E182" s="29">
        <v>5.0</v>
      </c>
      <c r="F182" s="29">
        <v>1.19</v>
      </c>
      <c r="G182" s="29">
        <f t="shared" ref="G182:G187" si="10">E182*F182</f>
        <v>5.95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6"/>
      <c r="B183" s="28" t="s">
        <v>142</v>
      </c>
      <c r="C183" s="13"/>
      <c r="D183" s="17"/>
      <c r="E183" s="29">
        <v>5.0</v>
      </c>
      <c r="F183" s="29">
        <v>0.91</v>
      </c>
      <c r="G183" s="29">
        <f t="shared" si="10"/>
        <v>4.55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6"/>
      <c r="B184" s="28" t="s">
        <v>145</v>
      </c>
      <c r="C184" s="13"/>
      <c r="D184" s="17"/>
      <c r="E184" s="29">
        <v>10.0</v>
      </c>
      <c r="F184" s="29">
        <v>0.6</v>
      </c>
      <c r="G184" s="29">
        <f t="shared" si="10"/>
        <v>6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6"/>
      <c r="B185" s="28" t="s">
        <v>348</v>
      </c>
      <c r="C185" s="13"/>
      <c r="D185" s="17"/>
      <c r="E185" s="29">
        <v>1.0</v>
      </c>
      <c r="F185" s="29">
        <v>14.99</v>
      </c>
      <c r="G185" s="29">
        <f t="shared" si="10"/>
        <v>14.99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6"/>
      <c r="B186" s="28" t="s">
        <v>171</v>
      </c>
      <c r="C186" s="13"/>
      <c r="D186" s="17"/>
      <c r="E186" s="29">
        <v>1.0</v>
      </c>
      <c r="F186" s="29">
        <v>7.99</v>
      </c>
      <c r="G186" s="29">
        <f t="shared" si="10"/>
        <v>7.99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6"/>
      <c r="B187" s="28" t="s">
        <v>174</v>
      </c>
      <c r="C187" s="13"/>
      <c r="D187" s="17"/>
      <c r="E187" s="29">
        <v>1.0</v>
      </c>
      <c r="F187" s="29">
        <v>15.99</v>
      </c>
      <c r="G187" s="29">
        <f t="shared" si="10"/>
        <v>15.99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6"/>
      <c r="B188" s="68" t="s">
        <v>356</v>
      </c>
      <c r="C188" s="13"/>
      <c r="D188" s="17"/>
      <c r="E188" s="29">
        <v>10.0</v>
      </c>
      <c r="F188" s="31"/>
      <c r="G188" s="29">
        <v>1.51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6"/>
      <c r="B189" s="68" t="s">
        <v>357</v>
      </c>
      <c r="C189" s="13"/>
      <c r="D189" s="17"/>
      <c r="E189" s="29">
        <v>100.0</v>
      </c>
      <c r="F189" s="31"/>
      <c r="G189" s="29">
        <v>7.11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6"/>
      <c r="B190" s="28" t="s">
        <v>182</v>
      </c>
      <c r="C190" s="13"/>
      <c r="D190" s="17"/>
      <c r="E190" s="29">
        <v>1.0</v>
      </c>
      <c r="F190" s="29">
        <v>11.99</v>
      </c>
      <c r="G190" s="29">
        <f t="shared" ref="G190:G191" si="11">E190*F190</f>
        <v>11.99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6"/>
      <c r="B191" s="28" t="s">
        <v>358</v>
      </c>
      <c r="C191" s="13"/>
      <c r="D191" s="17"/>
      <c r="E191" s="29">
        <v>4.0</v>
      </c>
      <c r="F191" s="29">
        <v>11.09</v>
      </c>
      <c r="G191" s="29">
        <f t="shared" si="11"/>
        <v>44.36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6"/>
      <c r="B192" s="28"/>
      <c r="C192" s="13"/>
      <c r="D192" s="17"/>
      <c r="E192" s="29"/>
      <c r="F192" s="29"/>
      <c r="G192" s="29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6"/>
      <c r="B193" s="3" t="s">
        <v>359</v>
      </c>
      <c r="C193" s="13"/>
      <c r="D193" s="17"/>
      <c r="E193" s="29"/>
      <c r="F193" s="29"/>
      <c r="G193" s="29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9"/>
      <c r="B194" s="69" t="s">
        <v>360</v>
      </c>
      <c r="C194" s="13"/>
      <c r="D194" s="17"/>
      <c r="E194" s="31"/>
      <c r="F194" s="31"/>
      <c r="G194" s="3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7"/>
      <c r="B195" s="69" t="s">
        <v>361</v>
      </c>
      <c r="C195" s="13"/>
      <c r="D195" s="17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7"/>
      <c r="B196" s="69" t="s">
        <v>362</v>
      </c>
      <c r="C196" s="13"/>
      <c r="D196" s="17"/>
      <c r="E196" s="13"/>
      <c r="F196" s="13"/>
      <c r="G196" s="1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7"/>
      <c r="B197" s="69" t="s">
        <v>363</v>
      </c>
      <c r="C197" s="13"/>
      <c r="D197" s="17"/>
      <c r="E197" s="13"/>
      <c r="F197" s="13"/>
      <c r="G197" s="1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7"/>
      <c r="B198" s="69" t="s">
        <v>364</v>
      </c>
      <c r="C198" s="13"/>
      <c r="D198" s="17"/>
      <c r="E198" s="13"/>
      <c r="F198" s="13"/>
      <c r="G198" s="1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7"/>
      <c r="B199" s="69" t="s">
        <v>365</v>
      </c>
      <c r="C199" s="13"/>
      <c r="D199" s="17"/>
      <c r="E199" s="13"/>
      <c r="F199" s="13"/>
      <c r="G199" s="1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7"/>
      <c r="B200" s="69" t="s">
        <v>366</v>
      </c>
      <c r="C200" s="13"/>
      <c r="D200" s="17"/>
      <c r="E200" s="13"/>
      <c r="F200" s="13"/>
      <c r="G200" s="1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7"/>
      <c r="B201" s="69" t="s">
        <v>367</v>
      </c>
      <c r="C201" s="13"/>
      <c r="D201" s="17"/>
      <c r="E201" s="13"/>
      <c r="F201" s="13"/>
      <c r="G201" s="1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7"/>
      <c r="B202" s="3"/>
      <c r="C202" s="13"/>
      <c r="D202" s="17"/>
      <c r="E202" s="13"/>
      <c r="F202" s="13"/>
      <c r="G202" s="1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7"/>
      <c r="B203" s="3" t="s">
        <v>368</v>
      </c>
      <c r="C203" s="13"/>
      <c r="D203" s="17"/>
      <c r="E203" s="13"/>
      <c r="F203" s="13"/>
      <c r="G203" s="1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7"/>
      <c r="B204" s="69" t="s">
        <v>369</v>
      </c>
      <c r="C204" s="13"/>
      <c r="D204" s="17"/>
      <c r="E204" s="13"/>
      <c r="F204" s="13"/>
      <c r="G204" s="1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7"/>
      <c r="B205" s="69" t="s">
        <v>370</v>
      </c>
      <c r="C205" s="3"/>
      <c r="D205" s="17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7"/>
      <c r="B206" s="69" t="s">
        <v>371</v>
      </c>
      <c r="C206" s="3"/>
      <c r="D206" s="17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7"/>
      <c r="B207" s="69" t="s">
        <v>372</v>
      </c>
      <c r="C207" s="3"/>
      <c r="D207" s="17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2"/>
      <c r="B208" s="70" t="s">
        <v>373</v>
      </c>
      <c r="C208" s="20"/>
      <c r="D208" s="34"/>
      <c r="E208" s="20"/>
      <c r="F208" s="20"/>
      <c r="G208" s="20"/>
      <c r="H208" s="20"/>
      <c r="I208" s="20"/>
      <c r="J208" s="20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7"/>
      <c r="C209" s="3"/>
      <c r="D209" s="17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2" t="s">
        <v>55</v>
      </c>
      <c r="C210" s="3"/>
      <c r="D210" s="17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6"/>
      <c r="C211" s="3"/>
      <c r="D211" s="17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6"/>
      <c r="C212" s="3"/>
      <c r="D212" s="17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6"/>
      <c r="C213" s="3"/>
      <c r="D213" s="17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6"/>
      <c r="C214" s="3"/>
      <c r="D214" s="17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6"/>
      <c r="C215" s="3"/>
      <c r="D215" s="17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6"/>
      <c r="B216" s="3"/>
      <c r="C216" s="3"/>
      <c r="D216" s="17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6"/>
      <c r="B217" s="3"/>
      <c r="C217" s="3"/>
      <c r="D217" s="17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6"/>
      <c r="C218" s="3"/>
      <c r="D218" s="17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6"/>
      <c r="C219" s="3"/>
      <c r="D219" s="17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9"/>
      <c r="C220" s="13"/>
      <c r="D220" s="17"/>
      <c r="E220" s="13"/>
      <c r="F220" s="13"/>
      <c r="G220" s="1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7"/>
      <c r="C221" s="13"/>
      <c r="D221" s="17"/>
      <c r="E221" s="13"/>
      <c r="F221" s="13"/>
      <c r="G221" s="1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7"/>
      <c r="C222" s="13"/>
      <c r="D222" s="17"/>
      <c r="E222" s="13"/>
      <c r="F222" s="13"/>
      <c r="G222" s="1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7"/>
      <c r="C223" s="13"/>
      <c r="D223" s="17"/>
      <c r="E223" s="13"/>
      <c r="F223" s="13"/>
      <c r="G223" s="1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7"/>
      <c r="C224" s="13"/>
      <c r="D224" s="17"/>
      <c r="E224" s="13"/>
      <c r="F224" s="13"/>
      <c r="G224" s="1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7"/>
      <c r="C225" s="13"/>
      <c r="D225" s="17"/>
      <c r="E225" s="13"/>
      <c r="F225" s="13"/>
      <c r="G225" s="1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7"/>
      <c r="C226" s="13"/>
      <c r="D226" s="17"/>
      <c r="E226" s="13"/>
      <c r="F226" s="13"/>
      <c r="G226" s="1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7"/>
      <c r="C227" s="13"/>
      <c r="D227" s="17"/>
      <c r="E227" s="13"/>
      <c r="F227" s="13"/>
      <c r="G227" s="1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7"/>
      <c r="C228" s="13"/>
      <c r="D228" s="17"/>
      <c r="E228" s="13"/>
      <c r="F228" s="13"/>
      <c r="G228" s="1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7"/>
      <c r="C229" s="13"/>
      <c r="D229" s="17"/>
      <c r="E229" s="13"/>
      <c r="F229" s="13"/>
      <c r="G229" s="1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7"/>
      <c r="C230" s="13"/>
      <c r="D230" s="17"/>
      <c r="E230" s="13"/>
      <c r="F230" s="13"/>
      <c r="G230" s="1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7"/>
      <c r="B231" s="3"/>
      <c r="C231" s="13"/>
      <c r="D231" s="17"/>
      <c r="E231" s="13"/>
      <c r="F231" s="13"/>
      <c r="G231" s="1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7"/>
      <c r="B232" s="3"/>
      <c r="C232" s="13"/>
      <c r="D232" s="17"/>
      <c r="E232" s="13"/>
      <c r="F232" s="13"/>
      <c r="G232" s="1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7"/>
      <c r="B233" s="3"/>
      <c r="C233" s="13"/>
      <c r="D233" s="17"/>
      <c r="E233" s="13"/>
      <c r="F233" s="13"/>
      <c r="G233" s="1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7"/>
      <c r="B234" s="3"/>
      <c r="C234" s="13"/>
      <c r="D234" s="17"/>
      <c r="E234" s="13"/>
      <c r="F234" s="13"/>
      <c r="G234" s="1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7"/>
      <c r="B235" s="3"/>
      <c r="C235" s="13"/>
      <c r="D235" s="17"/>
      <c r="E235" s="13"/>
      <c r="F235" s="13"/>
      <c r="G235" s="1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7"/>
      <c r="B236" s="3"/>
      <c r="C236" s="13"/>
      <c r="D236" s="17"/>
      <c r="E236" s="13"/>
      <c r="F236" s="13"/>
      <c r="G236" s="1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7"/>
      <c r="B237" s="3"/>
      <c r="C237" s="13"/>
      <c r="D237" s="17"/>
      <c r="E237" s="13"/>
      <c r="F237" s="13"/>
      <c r="G237" s="1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7"/>
      <c r="B238" s="3"/>
      <c r="C238" s="13"/>
      <c r="D238" s="17"/>
      <c r="E238" s="13"/>
      <c r="F238" s="13"/>
      <c r="G238" s="1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7"/>
      <c r="B239" s="3"/>
      <c r="C239" s="13"/>
      <c r="D239" s="17"/>
      <c r="E239" s="13"/>
      <c r="F239" s="13"/>
      <c r="G239" s="1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7"/>
      <c r="B240" s="3"/>
      <c r="C240" s="13"/>
      <c r="D240" s="17"/>
      <c r="E240" s="13"/>
      <c r="F240" s="13"/>
      <c r="G240" s="1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7"/>
      <c r="B241" s="3"/>
      <c r="C241" s="13"/>
      <c r="D241" s="17"/>
      <c r="E241" s="13"/>
      <c r="F241" s="13"/>
      <c r="G241" s="1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7"/>
      <c r="B242" s="3"/>
      <c r="C242" s="13"/>
      <c r="D242" s="17"/>
      <c r="E242" s="13"/>
      <c r="F242" s="13"/>
      <c r="G242" s="1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7"/>
      <c r="B243" s="3"/>
      <c r="C243" s="13"/>
      <c r="D243" s="17"/>
      <c r="E243" s="13"/>
      <c r="F243" s="13"/>
      <c r="G243" s="1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7"/>
      <c r="B244" s="3"/>
      <c r="C244" s="13"/>
      <c r="D244" s="17"/>
      <c r="E244" s="13"/>
      <c r="F244" s="13"/>
      <c r="G244" s="1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7"/>
      <c r="B245" s="3"/>
      <c r="C245" s="13"/>
      <c r="D245" s="17"/>
      <c r="E245" s="13"/>
      <c r="F245" s="13"/>
      <c r="G245" s="1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7"/>
      <c r="B246" s="3"/>
      <c r="C246" s="13"/>
      <c r="D246" s="17"/>
      <c r="E246" s="13"/>
      <c r="F246" s="13"/>
      <c r="G246" s="1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7"/>
      <c r="B247" s="3"/>
      <c r="C247" s="13"/>
      <c r="D247" s="17"/>
      <c r="E247" s="13"/>
      <c r="F247" s="13"/>
      <c r="G247" s="1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7"/>
      <c r="B248" s="3"/>
      <c r="C248" s="13"/>
      <c r="D248" s="17"/>
      <c r="E248" s="13"/>
      <c r="F248" s="13"/>
      <c r="G248" s="1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7"/>
      <c r="B249" s="3"/>
      <c r="C249" s="13"/>
      <c r="D249" s="17"/>
      <c r="E249" s="13"/>
      <c r="F249" s="13"/>
      <c r="G249" s="1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7"/>
      <c r="B250" s="3"/>
      <c r="C250" s="13"/>
      <c r="D250" s="17"/>
      <c r="E250" s="13"/>
      <c r="F250" s="13"/>
      <c r="G250" s="1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7"/>
      <c r="B251" s="3"/>
      <c r="C251" s="13"/>
      <c r="D251" s="17"/>
      <c r="E251" s="13"/>
      <c r="F251" s="13"/>
      <c r="G251" s="1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7"/>
      <c r="B252" s="3"/>
      <c r="C252" s="13"/>
      <c r="D252" s="17"/>
      <c r="E252" s="13"/>
      <c r="F252" s="13"/>
      <c r="G252" s="1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7"/>
      <c r="B253" s="3"/>
      <c r="C253" s="13"/>
      <c r="D253" s="17"/>
      <c r="E253" s="13"/>
      <c r="F253" s="13"/>
      <c r="G253" s="1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7"/>
      <c r="B254" s="3"/>
      <c r="C254" s="13"/>
      <c r="D254" s="17"/>
      <c r="E254" s="13"/>
      <c r="F254" s="13"/>
      <c r="G254" s="1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7"/>
      <c r="B255" s="3"/>
      <c r="C255" s="13"/>
      <c r="D255" s="17"/>
      <c r="E255" s="13"/>
      <c r="F255" s="13"/>
      <c r="G255" s="1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7"/>
      <c r="B256" s="3"/>
      <c r="C256" s="13"/>
      <c r="D256" s="17"/>
      <c r="E256" s="13"/>
      <c r="F256" s="13"/>
      <c r="G256" s="1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7"/>
      <c r="B257" s="3"/>
      <c r="C257" s="13"/>
      <c r="D257" s="17"/>
      <c r="E257" s="13"/>
      <c r="F257" s="13"/>
      <c r="G257" s="1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7"/>
      <c r="B258" s="3"/>
      <c r="C258" s="13"/>
      <c r="D258" s="17"/>
      <c r="E258" s="13"/>
      <c r="F258" s="13"/>
      <c r="G258" s="1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7"/>
      <c r="B259" s="3"/>
      <c r="C259" s="13"/>
      <c r="D259" s="17"/>
      <c r="E259" s="13"/>
      <c r="F259" s="13"/>
      <c r="G259" s="1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7"/>
      <c r="B260" s="3"/>
      <c r="C260" s="13"/>
      <c r="D260" s="17"/>
      <c r="E260" s="13"/>
      <c r="F260" s="13"/>
      <c r="G260" s="1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7"/>
      <c r="B261" s="3"/>
      <c r="C261" s="13"/>
      <c r="D261" s="17"/>
      <c r="E261" s="13"/>
      <c r="F261" s="13"/>
      <c r="G261" s="1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7"/>
      <c r="B262" s="3"/>
      <c r="C262" s="13"/>
      <c r="D262" s="17"/>
      <c r="E262" s="13"/>
      <c r="F262" s="13"/>
      <c r="G262" s="1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7"/>
      <c r="B263" s="3"/>
      <c r="C263" s="13"/>
      <c r="D263" s="17"/>
      <c r="E263" s="13"/>
      <c r="F263" s="13"/>
      <c r="G263" s="1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7"/>
      <c r="B264" s="3"/>
      <c r="C264" s="13"/>
      <c r="D264" s="17"/>
      <c r="E264" s="13"/>
      <c r="F264" s="13"/>
      <c r="G264" s="1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7"/>
      <c r="B265" s="3"/>
      <c r="C265" s="13"/>
      <c r="D265" s="17"/>
      <c r="E265" s="13"/>
      <c r="F265" s="13"/>
      <c r="G265" s="1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7"/>
      <c r="B266" s="3"/>
      <c r="C266" s="13"/>
      <c r="D266" s="17"/>
      <c r="E266" s="13"/>
      <c r="F266" s="13"/>
      <c r="G266" s="1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7"/>
      <c r="B267" s="3"/>
      <c r="C267" s="13"/>
      <c r="D267" s="17"/>
      <c r="E267" s="13"/>
      <c r="F267" s="13"/>
      <c r="G267" s="1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7"/>
      <c r="B268" s="3"/>
      <c r="C268" s="13"/>
      <c r="D268" s="17"/>
      <c r="E268" s="13"/>
      <c r="F268" s="13"/>
      <c r="G268" s="1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7"/>
      <c r="B269" s="3"/>
      <c r="C269" s="13"/>
      <c r="D269" s="17"/>
      <c r="E269" s="13"/>
      <c r="F269" s="13"/>
      <c r="G269" s="1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7"/>
      <c r="B270" s="3"/>
      <c r="C270" s="13"/>
      <c r="D270" s="17"/>
      <c r="E270" s="13"/>
      <c r="F270" s="13"/>
      <c r="G270" s="1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7"/>
      <c r="B271" s="3"/>
      <c r="C271" s="13"/>
      <c r="D271" s="17"/>
      <c r="E271" s="13"/>
      <c r="F271" s="13"/>
      <c r="G271" s="1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7"/>
      <c r="B272" s="3"/>
      <c r="C272" s="13"/>
      <c r="D272" s="17"/>
      <c r="E272" s="13"/>
      <c r="F272" s="13"/>
      <c r="G272" s="1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7"/>
      <c r="B273" s="3"/>
      <c r="C273" s="13"/>
      <c r="D273" s="17"/>
      <c r="E273" s="13"/>
      <c r="F273" s="13"/>
      <c r="G273" s="1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7"/>
      <c r="B274" s="3"/>
      <c r="C274" s="13"/>
      <c r="D274" s="17"/>
      <c r="E274" s="13"/>
      <c r="F274" s="13"/>
      <c r="G274" s="1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7"/>
      <c r="B275" s="3"/>
      <c r="C275" s="13"/>
      <c r="D275" s="17"/>
      <c r="E275" s="13"/>
      <c r="F275" s="13"/>
      <c r="G275" s="1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7"/>
      <c r="B276" s="3"/>
      <c r="C276" s="13"/>
      <c r="D276" s="17"/>
      <c r="E276" s="13"/>
      <c r="F276" s="13"/>
      <c r="G276" s="1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7"/>
      <c r="B277" s="3"/>
      <c r="C277" s="13"/>
      <c r="D277" s="17"/>
      <c r="E277" s="13"/>
      <c r="F277" s="13"/>
      <c r="G277" s="1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7"/>
      <c r="B278" s="3"/>
      <c r="C278" s="13"/>
      <c r="D278" s="17"/>
      <c r="E278" s="13"/>
      <c r="F278" s="13"/>
      <c r="G278" s="1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7"/>
      <c r="B279" s="3"/>
      <c r="C279" s="13"/>
      <c r="D279" s="17"/>
      <c r="E279" s="13"/>
      <c r="F279" s="13"/>
      <c r="G279" s="1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7"/>
      <c r="B280" s="3"/>
      <c r="C280" s="13"/>
      <c r="D280" s="17"/>
      <c r="E280" s="13"/>
      <c r="F280" s="13"/>
      <c r="G280" s="1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7"/>
      <c r="B281" s="3"/>
      <c r="C281" s="13"/>
      <c r="D281" s="17"/>
      <c r="E281" s="13"/>
      <c r="F281" s="13"/>
      <c r="G281" s="1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7"/>
      <c r="B282" s="3"/>
      <c r="C282" s="13"/>
      <c r="D282" s="17"/>
      <c r="E282" s="13"/>
      <c r="F282" s="13"/>
      <c r="G282" s="1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7"/>
      <c r="B283" s="3"/>
      <c r="C283" s="13"/>
      <c r="D283" s="17"/>
      <c r="E283" s="13"/>
      <c r="F283" s="13"/>
      <c r="G283" s="1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7"/>
      <c r="B284" s="3"/>
      <c r="C284" s="13"/>
      <c r="D284" s="17"/>
      <c r="E284" s="13"/>
      <c r="F284" s="13"/>
      <c r="G284" s="1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7"/>
      <c r="B285" s="3"/>
      <c r="C285" s="13"/>
      <c r="D285" s="17"/>
      <c r="E285" s="13"/>
      <c r="F285" s="13"/>
      <c r="G285" s="1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7"/>
      <c r="B286" s="3"/>
      <c r="C286" s="13"/>
      <c r="D286" s="17"/>
      <c r="E286" s="13"/>
      <c r="F286" s="13"/>
      <c r="G286" s="1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7"/>
      <c r="B287" s="3"/>
      <c r="C287" s="13"/>
      <c r="D287" s="17"/>
      <c r="E287" s="13"/>
      <c r="F287" s="13"/>
      <c r="G287" s="1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7"/>
      <c r="B288" s="3"/>
      <c r="C288" s="13"/>
      <c r="D288" s="17"/>
      <c r="E288" s="13"/>
      <c r="F288" s="13"/>
      <c r="G288" s="1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7"/>
      <c r="B289" s="3"/>
      <c r="C289" s="13"/>
      <c r="D289" s="17"/>
      <c r="E289" s="13"/>
      <c r="F289" s="13"/>
      <c r="G289" s="1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7"/>
      <c r="B290" s="3"/>
      <c r="C290" s="13"/>
      <c r="D290" s="17"/>
      <c r="E290" s="13"/>
      <c r="F290" s="13"/>
      <c r="G290" s="1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7"/>
      <c r="B291" s="3"/>
      <c r="C291" s="13"/>
      <c r="D291" s="17"/>
      <c r="E291" s="13"/>
      <c r="F291" s="13"/>
      <c r="G291" s="1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7"/>
      <c r="B292" s="3"/>
      <c r="C292" s="13"/>
      <c r="D292" s="17"/>
      <c r="E292" s="13"/>
      <c r="F292" s="13"/>
      <c r="G292" s="1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7"/>
      <c r="B293" s="3"/>
      <c r="C293" s="13"/>
      <c r="D293" s="17"/>
      <c r="E293" s="13"/>
      <c r="F293" s="13"/>
      <c r="G293" s="1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7"/>
      <c r="B294" s="3"/>
      <c r="C294" s="13"/>
      <c r="D294" s="17"/>
      <c r="E294" s="13"/>
      <c r="F294" s="13"/>
      <c r="G294" s="1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7"/>
      <c r="B295" s="3"/>
      <c r="C295" s="13"/>
      <c r="D295" s="17"/>
      <c r="E295" s="13"/>
      <c r="F295" s="13"/>
      <c r="G295" s="1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7"/>
      <c r="B296" s="3"/>
      <c r="C296" s="13"/>
      <c r="D296" s="17"/>
      <c r="E296" s="13"/>
      <c r="F296" s="13"/>
      <c r="G296" s="1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7"/>
      <c r="B297" s="3"/>
      <c r="C297" s="13"/>
      <c r="D297" s="17"/>
      <c r="E297" s="13"/>
      <c r="F297" s="13"/>
      <c r="G297" s="1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7"/>
      <c r="B298" s="3"/>
      <c r="C298" s="13"/>
      <c r="D298" s="17"/>
      <c r="E298" s="13"/>
      <c r="F298" s="13"/>
      <c r="G298" s="1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7"/>
      <c r="B299" s="3"/>
      <c r="C299" s="13"/>
      <c r="D299" s="17"/>
      <c r="E299" s="13"/>
      <c r="F299" s="13"/>
      <c r="G299" s="1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7"/>
      <c r="B300" s="3"/>
      <c r="C300" s="13"/>
      <c r="D300" s="17"/>
      <c r="E300" s="13"/>
      <c r="F300" s="13"/>
      <c r="G300" s="1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7"/>
      <c r="B301" s="3"/>
      <c r="C301" s="13"/>
      <c r="D301" s="17"/>
      <c r="E301" s="13"/>
      <c r="F301" s="13"/>
      <c r="G301" s="1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7"/>
      <c r="B302" s="3"/>
      <c r="C302" s="13"/>
      <c r="D302" s="17"/>
      <c r="E302" s="13"/>
      <c r="F302" s="13"/>
      <c r="G302" s="1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7"/>
      <c r="B303" s="3"/>
      <c r="C303" s="13"/>
      <c r="D303" s="17"/>
      <c r="E303" s="13"/>
      <c r="F303" s="13"/>
      <c r="G303" s="1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7"/>
      <c r="B304" s="3"/>
      <c r="C304" s="13"/>
      <c r="D304" s="17"/>
      <c r="E304" s="13"/>
      <c r="F304" s="13"/>
      <c r="G304" s="1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7"/>
      <c r="B305" s="3"/>
      <c r="C305" s="13"/>
      <c r="D305" s="17"/>
      <c r="E305" s="13"/>
      <c r="F305" s="13"/>
      <c r="G305" s="1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7"/>
      <c r="B306" s="3"/>
      <c r="C306" s="13"/>
      <c r="D306" s="17"/>
      <c r="E306" s="13"/>
      <c r="F306" s="13"/>
      <c r="G306" s="1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7"/>
      <c r="B307" s="3"/>
      <c r="C307" s="13"/>
      <c r="D307" s="17"/>
      <c r="E307" s="13"/>
      <c r="F307" s="13"/>
      <c r="G307" s="1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7"/>
      <c r="B308" s="3"/>
      <c r="C308" s="13"/>
      <c r="D308" s="17"/>
      <c r="E308" s="13"/>
      <c r="F308" s="13"/>
      <c r="G308" s="1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7"/>
      <c r="B309" s="3"/>
      <c r="C309" s="13"/>
      <c r="D309" s="17"/>
      <c r="E309" s="13"/>
      <c r="F309" s="13"/>
      <c r="G309" s="1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7"/>
      <c r="B310" s="3"/>
      <c r="C310" s="13"/>
      <c r="D310" s="17"/>
      <c r="E310" s="13"/>
      <c r="F310" s="13"/>
      <c r="G310" s="1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7"/>
      <c r="B311" s="3"/>
      <c r="C311" s="13"/>
      <c r="D311" s="17"/>
      <c r="E311" s="13"/>
      <c r="F311" s="13"/>
      <c r="G311" s="1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7"/>
      <c r="B312" s="3"/>
      <c r="C312" s="13"/>
      <c r="D312" s="17"/>
      <c r="E312" s="13"/>
      <c r="F312" s="13"/>
      <c r="G312" s="1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7"/>
      <c r="B313" s="3"/>
      <c r="C313" s="13"/>
      <c r="D313" s="17"/>
      <c r="E313" s="13"/>
      <c r="F313" s="13"/>
      <c r="G313" s="1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7"/>
      <c r="B314" s="3"/>
      <c r="C314" s="13"/>
      <c r="D314" s="17"/>
      <c r="E314" s="13"/>
      <c r="F314" s="13"/>
      <c r="G314" s="1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7"/>
      <c r="B315" s="3"/>
      <c r="C315" s="13"/>
      <c r="D315" s="17"/>
      <c r="E315" s="13"/>
      <c r="F315" s="13"/>
      <c r="G315" s="1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7"/>
      <c r="B316" s="3"/>
      <c r="C316" s="13"/>
      <c r="D316" s="17"/>
      <c r="E316" s="13"/>
      <c r="F316" s="13"/>
      <c r="G316" s="1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7"/>
      <c r="B317" s="3"/>
      <c r="C317" s="13"/>
      <c r="D317" s="17"/>
      <c r="E317" s="13"/>
      <c r="F317" s="13"/>
      <c r="G317" s="1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7"/>
      <c r="B318" s="3"/>
      <c r="C318" s="13"/>
      <c r="D318" s="17"/>
      <c r="E318" s="13"/>
      <c r="F318" s="13"/>
      <c r="G318" s="1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7"/>
      <c r="B319" s="3"/>
      <c r="C319" s="13"/>
      <c r="D319" s="17"/>
      <c r="E319" s="13"/>
      <c r="F319" s="13"/>
      <c r="G319" s="1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7"/>
      <c r="B320" s="3"/>
      <c r="C320" s="13"/>
      <c r="D320" s="17"/>
      <c r="E320" s="13"/>
      <c r="F320" s="13"/>
      <c r="G320" s="1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7"/>
      <c r="B321" s="3"/>
      <c r="C321" s="13"/>
      <c r="D321" s="17"/>
      <c r="E321" s="13"/>
      <c r="F321" s="13"/>
      <c r="G321" s="1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7"/>
      <c r="B322" s="3"/>
      <c r="C322" s="13"/>
      <c r="D322" s="17"/>
      <c r="E322" s="13"/>
      <c r="F322" s="13"/>
      <c r="G322" s="1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7"/>
      <c r="B323" s="3"/>
      <c r="C323" s="13"/>
      <c r="D323" s="17"/>
      <c r="E323" s="13"/>
      <c r="F323" s="13"/>
      <c r="G323" s="1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7"/>
      <c r="B324" s="3"/>
      <c r="C324" s="13"/>
      <c r="D324" s="17"/>
      <c r="E324" s="13"/>
      <c r="F324" s="13"/>
      <c r="G324" s="1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7"/>
      <c r="B325" s="3"/>
      <c r="C325" s="13"/>
      <c r="D325" s="17"/>
      <c r="E325" s="13"/>
      <c r="F325" s="13"/>
      <c r="G325" s="1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7"/>
      <c r="B326" s="3"/>
      <c r="C326" s="13"/>
      <c r="D326" s="17"/>
      <c r="E326" s="13"/>
      <c r="F326" s="13"/>
      <c r="G326" s="1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7"/>
      <c r="B327" s="3"/>
      <c r="C327" s="13"/>
      <c r="D327" s="17"/>
      <c r="E327" s="13"/>
      <c r="F327" s="13"/>
      <c r="G327" s="1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7"/>
      <c r="B328" s="3"/>
      <c r="C328" s="13"/>
      <c r="D328" s="17"/>
      <c r="E328" s="13"/>
      <c r="F328" s="13"/>
      <c r="G328" s="1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7"/>
      <c r="B329" s="3"/>
      <c r="C329" s="13"/>
      <c r="D329" s="17"/>
      <c r="E329" s="13"/>
      <c r="F329" s="13"/>
      <c r="G329" s="1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7"/>
      <c r="B330" s="3"/>
      <c r="C330" s="13"/>
      <c r="D330" s="17"/>
      <c r="E330" s="13"/>
      <c r="F330" s="13"/>
      <c r="G330" s="1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7"/>
      <c r="B331" s="3"/>
      <c r="C331" s="13"/>
      <c r="D331" s="17"/>
      <c r="E331" s="13"/>
      <c r="F331" s="13"/>
      <c r="G331" s="1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7"/>
      <c r="B332" s="3"/>
      <c r="C332" s="13"/>
      <c r="D332" s="17"/>
      <c r="E332" s="13"/>
      <c r="F332" s="13"/>
      <c r="G332" s="1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7"/>
      <c r="B333" s="3"/>
      <c r="C333" s="13"/>
      <c r="D333" s="17"/>
      <c r="E333" s="13"/>
      <c r="F333" s="13"/>
      <c r="G333" s="1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7"/>
      <c r="B334" s="3"/>
      <c r="C334" s="13"/>
      <c r="D334" s="17"/>
      <c r="E334" s="13"/>
      <c r="F334" s="13"/>
      <c r="G334" s="1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7"/>
      <c r="B335" s="3"/>
      <c r="C335" s="13"/>
      <c r="D335" s="17"/>
      <c r="E335" s="13"/>
      <c r="F335" s="13"/>
      <c r="G335" s="1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7"/>
      <c r="B336" s="3"/>
      <c r="C336" s="13"/>
      <c r="D336" s="17"/>
      <c r="E336" s="13"/>
      <c r="F336" s="13"/>
      <c r="G336" s="1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7"/>
      <c r="B337" s="3"/>
      <c r="C337" s="13"/>
      <c r="D337" s="17"/>
      <c r="E337" s="13"/>
      <c r="F337" s="13"/>
      <c r="G337" s="1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7"/>
      <c r="B338" s="3"/>
      <c r="C338" s="13"/>
      <c r="D338" s="17"/>
      <c r="E338" s="13"/>
      <c r="F338" s="13"/>
      <c r="G338" s="1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7"/>
      <c r="B339" s="3"/>
      <c r="C339" s="13"/>
      <c r="D339" s="17"/>
      <c r="E339" s="13"/>
      <c r="F339" s="13"/>
      <c r="G339" s="1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7"/>
      <c r="B340" s="3"/>
      <c r="C340" s="13"/>
      <c r="D340" s="17"/>
      <c r="E340" s="13"/>
      <c r="F340" s="13"/>
      <c r="G340" s="1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7"/>
      <c r="B341" s="3"/>
      <c r="C341" s="13"/>
      <c r="D341" s="17"/>
      <c r="E341" s="13"/>
      <c r="F341" s="13"/>
      <c r="G341" s="1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7"/>
      <c r="B342" s="3"/>
      <c r="C342" s="13"/>
      <c r="D342" s="17"/>
      <c r="E342" s="13"/>
      <c r="F342" s="13"/>
      <c r="G342" s="1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7"/>
      <c r="B343" s="3"/>
      <c r="C343" s="13"/>
      <c r="D343" s="17"/>
      <c r="E343" s="13"/>
      <c r="F343" s="13"/>
      <c r="G343" s="1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7"/>
      <c r="B344" s="3"/>
      <c r="C344" s="13"/>
      <c r="D344" s="17"/>
      <c r="E344" s="13"/>
      <c r="F344" s="13"/>
      <c r="G344" s="1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7"/>
      <c r="B345" s="3"/>
      <c r="C345" s="13"/>
      <c r="D345" s="17"/>
      <c r="E345" s="13"/>
      <c r="F345" s="13"/>
      <c r="G345" s="1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7"/>
      <c r="B346" s="3"/>
      <c r="C346" s="13"/>
      <c r="D346" s="17"/>
      <c r="E346" s="13"/>
      <c r="F346" s="13"/>
      <c r="G346" s="1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7"/>
      <c r="B347" s="3"/>
      <c r="C347" s="13"/>
      <c r="D347" s="17"/>
      <c r="E347" s="13"/>
      <c r="F347" s="13"/>
      <c r="G347" s="1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7"/>
      <c r="B348" s="3"/>
      <c r="C348" s="13"/>
      <c r="D348" s="17"/>
      <c r="E348" s="13"/>
      <c r="F348" s="13"/>
      <c r="G348" s="1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7"/>
      <c r="B349" s="3"/>
      <c r="C349" s="13"/>
      <c r="D349" s="17"/>
      <c r="E349" s="13"/>
      <c r="F349" s="13"/>
      <c r="G349" s="1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7"/>
      <c r="B350" s="3"/>
      <c r="C350" s="13"/>
      <c r="D350" s="17"/>
      <c r="E350" s="13"/>
      <c r="F350" s="13"/>
      <c r="G350" s="1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7"/>
      <c r="B351" s="3"/>
      <c r="C351" s="13"/>
      <c r="D351" s="17"/>
      <c r="E351" s="13"/>
      <c r="F351" s="13"/>
      <c r="G351" s="1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7"/>
      <c r="B352" s="3"/>
      <c r="C352" s="13"/>
      <c r="D352" s="17"/>
      <c r="E352" s="13"/>
      <c r="F352" s="13"/>
      <c r="G352" s="1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7"/>
      <c r="B353" s="3"/>
      <c r="C353" s="13"/>
      <c r="D353" s="17"/>
      <c r="E353" s="13"/>
      <c r="F353" s="13"/>
      <c r="G353" s="1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7"/>
      <c r="B354" s="3"/>
      <c r="C354" s="13"/>
      <c r="D354" s="17"/>
      <c r="E354" s="13"/>
      <c r="F354" s="13"/>
      <c r="G354" s="1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7"/>
      <c r="B355" s="3"/>
      <c r="C355" s="13"/>
      <c r="D355" s="17"/>
      <c r="E355" s="13"/>
      <c r="F355" s="13"/>
      <c r="G355" s="1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7"/>
      <c r="B356" s="3"/>
      <c r="C356" s="13"/>
      <c r="D356" s="17"/>
      <c r="E356" s="13"/>
      <c r="F356" s="13"/>
      <c r="G356" s="1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7"/>
      <c r="B357" s="3"/>
      <c r="C357" s="13"/>
      <c r="D357" s="17"/>
      <c r="E357" s="13"/>
      <c r="F357" s="13"/>
      <c r="G357" s="1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7"/>
      <c r="B358" s="3"/>
      <c r="C358" s="13"/>
      <c r="D358" s="17"/>
      <c r="E358" s="13"/>
      <c r="F358" s="13"/>
      <c r="G358" s="1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7"/>
      <c r="B359" s="3"/>
      <c r="C359" s="13"/>
      <c r="D359" s="17"/>
      <c r="E359" s="13"/>
      <c r="F359" s="13"/>
      <c r="G359" s="1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7"/>
      <c r="B360" s="3"/>
      <c r="C360" s="13"/>
      <c r="D360" s="17"/>
      <c r="E360" s="13"/>
      <c r="F360" s="13"/>
      <c r="G360" s="1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7"/>
      <c r="B361" s="3"/>
      <c r="C361" s="13"/>
      <c r="D361" s="17"/>
      <c r="E361" s="13"/>
      <c r="F361" s="13"/>
      <c r="G361" s="1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7"/>
      <c r="B362" s="3"/>
      <c r="C362" s="13"/>
      <c r="D362" s="17"/>
      <c r="E362" s="13"/>
      <c r="F362" s="13"/>
      <c r="G362" s="1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7"/>
      <c r="B363" s="3"/>
      <c r="C363" s="13"/>
      <c r="D363" s="17"/>
      <c r="E363" s="13"/>
      <c r="F363" s="13"/>
      <c r="G363" s="1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7"/>
      <c r="B364" s="3"/>
      <c r="C364" s="13"/>
      <c r="D364" s="17"/>
      <c r="E364" s="13"/>
      <c r="F364" s="13"/>
      <c r="G364" s="1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7"/>
      <c r="B365" s="3"/>
      <c r="C365" s="13"/>
      <c r="D365" s="17"/>
      <c r="E365" s="13"/>
      <c r="F365" s="13"/>
      <c r="G365" s="1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7"/>
      <c r="B366" s="3"/>
      <c r="C366" s="13"/>
      <c r="D366" s="17"/>
      <c r="E366" s="13"/>
      <c r="F366" s="13"/>
      <c r="G366" s="1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7"/>
      <c r="B367" s="3"/>
      <c r="C367" s="13"/>
      <c r="D367" s="17"/>
      <c r="E367" s="13"/>
      <c r="F367" s="13"/>
      <c r="G367" s="1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7"/>
      <c r="B368" s="3"/>
      <c r="C368" s="13"/>
      <c r="D368" s="17"/>
      <c r="E368" s="13"/>
      <c r="F368" s="13"/>
      <c r="G368" s="1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7"/>
      <c r="B369" s="3"/>
      <c r="C369" s="13"/>
      <c r="D369" s="17"/>
      <c r="E369" s="13"/>
      <c r="F369" s="13"/>
      <c r="G369" s="1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7"/>
      <c r="B370" s="3"/>
      <c r="C370" s="13"/>
      <c r="D370" s="17"/>
      <c r="E370" s="13"/>
      <c r="F370" s="13"/>
      <c r="G370" s="1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7"/>
      <c r="B371" s="3"/>
      <c r="C371" s="13"/>
      <c r="D371" s="17"/>
      <c r="E371" s="13"/>
      <c r="F371" s="13"/>
      <c r="G371" s="1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7"/>
      <c r="B372" s="3"/>
      <c r="C372" s="13"/>
      <c r="D372" s="17"/>
      <c r="E372" s="13"/>
      <c r="F372" s="13"/>
      <c r="G372" s="1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7"/>
      <c r="B373" s="3"/>
      <c r="C373" s="13"/>
      <c r="D373" s="17"/>
      <c r="E373" s="13"/>
      <c r="F373" s="13"/>
      <c r="G373" s="1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7"/>
      <c r="B374" s="3"/>
      <c r="C374" s="13"/>
      <c r="D374" s="17"/>
      <c r="E374" s="13"/>
      <c r="F374" s="13"/>
      <c r="G374" s="1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7"/>
      <c r="B375" s="3"/>
      <c r="C375" s="13"/>
      <c r="D375" s="17"/>
      <c r="E375" s="13"/>
      <c r="F375" s="13"/>
      <c r="G375" s="1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7"/>
      <c r="B376" s="3"/>
      <c r="C376" s="13"/>
      <c r="D376" s="17"/>
      <c r="E376" s="13"/>
      <c r="F376" s="13"/>
      <c r="G376" s="1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7"/>
      <c r="B377" s="3"/>
      <c r="C377" s="13"/>
      <c r="D377" s="17"/>
      <c r="E377" s="13"/>
      <c r="F377" s="13"/>
      <c r="G377" s="1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7"/>
      <c r="B378" s="3"/>
      <c r="C378" s="13"/>
      <c r="D378" s="17"/>
      <c r="E378" s="13"/>
      <c r="F378" s="13"/>
      <c r="G378" s="1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7"/>
      <c r="B379" s="3"/>
      <c r="C379" s="13"/>
      <c r="D379" s="17"/>
      <c r="E379" s="13"/>
      <c r="F379" s="13"/>
      <c r="G379" s="1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7"/>
      <c r="B380" s="3"/>
      <c r="C380" s="13"/>
      <c r="D380" s="17"/>
      <c r="E380" s="13"/>
      <c r="F380" s="13"/>
      <c r="G380" s="1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7"/>
      <c r="B381" s="3"/>
      <c r="C381" s="13"/>
      <c r="D381" s="17"/>
      <c r="E381" s="13"/>
      <c r="F381" s="13"/>
      <c r="G381" s="1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7"/>
      <c r="B382" s="3"/>
      <c r="C382" s="13"/>
      <c r="D382" s="17"/>
      <c r="E382" s="13"/>
      <c r="F382" s="13"/>
      <c r="G382" s="1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7"/>
      <c r="B383" s="3"/>
      <c r="C383" s="13"/>
      <c r="D383" s="17"/>
      <c r="E383" s="13"/>
      <c r="F383" s="13"/>
      <c r="G383" s="1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7"/>
      <c r="B384" s="3"/>
      <c r="C384" s="13"/>
      <c r="D384" s="17"/>
      <c r="E384" s="13"/>
      <c r="F384" s="13"/>
      <c r="G384" s="1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7"/>
      <c r="B385" s="3"/>
      <c r="C385" s="13"/>
      <c r="D385" s="17"/>
      <c r="E385" s="13"/>
      <c r="F385" s="13"/>
      <c r="G385" s="1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7"/>
      <c r="B386" s="3"/>
      <c r="C386" s="13"/>
      <c r="D386" s="17"/>
      <c r="E386" s="13"/>
      <c r="F386" s="13"/>
      <c r="G386" s="1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7"/>
      <c r="B387" s="3"/>
      <c r="C387" s="13"/>
      <c r="D387" s="17"/>
      <c r="E387" s="13"/>
      <c r="F387" s="13"/>
      <c r="G387" s="1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7"/>
      <c r="B388" s="3"/>
      <c r="C388" s="13"/>
      <c r="D388" s="17"/>
      <c r="E388" s="13"/>
      <c r="F388" s="13"/>
      <c r="G388" s="1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7"/>
      <c r="B389" s="3"/>
      <c r="C389" s="13"/>
      <c r="D389" s="17"/>
      <c r="E389" s="13"/>
      <c r="F389" s="13"/>
      <c r="G389" s="1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7"/>
      <c r="B390" s="3"/>
      <c r="C390" s="13"/>
      <c r="D390" s="17"/>
      <c r="E390" s="13"/>
      <c r="F390" s="13"/>
      <c r="G390" s="1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7"/>
      <c r="B391" s="3"/>
      <c r="C391" s="13"/>
      <c r="D391" s="17"/>
      <c r="E391" s="13"/>
      <c r="F391" s="13"/>
      <c r="G391" s="1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7"/>
      <c r="B392" s="3"/>
      <c r="C392" s="13"/>
      <c r="D392" s="17"/>
      <c r="E392" s="13"/>
      <c r="F392" s="13"/>
      <c r="G392" s="1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7"/>
      <c r="B393" s="3"/>
      <c r="C393" s="13"/>
      <c r="D393" s="17"/>
      <c r="E393" s="13"/>
      <c r="F393" s="13"/>
      <c r="G393" s="1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7"/>
      <c r="B394" s="3"/>
      <c r="C394" s="13"/>
      <c r="D394" s="17"/>
      <c r="E394" s="13"/>
      <c r="F394" s="13"/>
      <c r="G394" s="1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7"/>
      <c r="B395" s="3"/>
      <c r="C395" s="13"/>
      <c r="D395" s="17"/>
      <c r="E395" s="13"/>
      <c r="F395" s="13"/>
      <c r="G395" s="1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7"/>
      <c r="B396" s="3"/>
      <c r="C396" s="13"/>
      <c r="D396" s="17"/>
      <c r="E396" s="13"/>
      <c r="F396" s="13"/>
      <c r="G396" s="1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7"/>
      <c r="B397" s="3"/>
      <c r="C397" s="13"/>
      <c r="D397" s="17"/>
      <c r="E397" s="13"/>
      <c r="F397" s="13"/>
      <c r="G397" s="1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7"/>
      <c r="B398" s="3"/>
      <c r="C398" s="13"/>
      <c r="D398" s="17"/>
      <c r="E398" s="13"/>
      <c r="F398" s="13"/>
      <c r="G398" s="1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7"/>
      <c r="B399" s="3"/>
      <c r="C399" s="13"/>
      <c r="D399" s="17"/>
      <c r="E399" s="13"/>
      <c r="F399" s="13"/>
      <c r="G399" s="1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7"/>
      <c r="B400" s="3"/>
      <c r="C400" s="13"/>
      <c r="D400" s="17"/>
      <c r="E400" s="13"/>
      <c r="F400" s="13"/>
      <c r="G400" s="1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7"/>
      <c r="B401" s="3"/>
      <c r="C401" s="13"/>
      <c r="D401" s="17"/>
      <c r="E401" s="13"/>
      <c r="F401" s="13"/>
      <c r="G401" s="1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7"/>
      <c r="B402" s="3"/>
      <c r="C402" s="13"/>
      <c r="D402" s="17"/>
      <c r="E402" s="13"/>
      <c r="F402" s="13"/>
      <c r="G402" s="1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7"/>
      <c r="B403" s="3"/>
      <c r="C403" s="13"/>
      <c r="D403" s="17"/>
      <c r="E403" s="13"/>
      <c r="F403" s="13"/>
      <c r="G403" s="1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7"/>
      <c r="B404" s="3"/>
      <c r="C404" s="13"/>
      <c r="D404" s="17"/>
      <c r="E404" s="13"/>
      <c r="F404" s="13"/>
      <c r="G404" s="1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7"/>
      <c r="B405" s="3"/>
      <c r="C405" s="13"/>
      <c r="D405" s="17"/>
      <c r="E405" s="13"/>
      <c r="F405" s="13"/>
      <c r="G405" s="1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7"/>
      <c r="B406" s="3"/>
      <c r="C406" s="13"/>
      <c r="D406" s="17"/>
      <c r="E406" s="13"/>
      <c r="F406" s="13"/>
      <c r="G406" s="1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7"/>
      <c r="B407" s="3"/>
      <c r="C407" s="13"/>
      <c r="D407" s="17"/>
      <c r="E407" s="13"/>
      <c r="F407" s="13"/>
      <c r="G407" s="1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7"/>
      <c r="B408" s="3"/>
      <c r="C408" s="13"/>
      <c r="D408" s="17"/>
      <c r="E408" s="13"/>
      <c r="F408" s="13"/>
      <c r="G408" s="1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7"/>
      <c r="B409" s="3"/>
      <c r="C409" s="13"/>
      <c r="D409" s="17"/>
      <c r="E409" s="13"/>
      <c r="F409" s="13"/>
      <c r="G409" s="1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7"/>
      <c r="B410" s="3"/>
      <c r="C410" s="13"/>
      <c r="D410" s="17"/>
      <c r="E410" s="13"/>
      <c r="F410" s="13"/>
      <c r="G410" s="1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4:G14"/>
    <mergeCell ref="A15:A30"/>
    <mergeCell ref="A33:A49"/>
    <mergeCell ref="A52:G52"/>
    <mergeCell ref="A53:A73"/>
    <mergeCell ref="A76:A93"/>
    <mergeCell ref="A95:G95"/>
    <mergeCell ref="A154:A157"/>
    <mergeCell ref="A164:G164"/>
    <mergeCell ref="A165:A194"/>
    <mergeCell ref="A210:A220"/>
    <mergeCell ref="A96:A99"/>
    <mergeCell ref="A101:A112"/>
    <mergeCell ref="A115:G115"/>
    <mergeCell ref="A117:A123"/>
    <mergeCell ref="A127:A134"/>
    <mergeCell ref="A137:G137"/>
    <mergeCell ref="A138:A152"/>
  </mergeCells>
  <hyperlinks>
    <hyperlink r:id="rId1" ref="D15"/>
    <hyperlink r:id="rId2" ref="D16"/>
    <hyperlink r:id="rId3" ref="D17"/>
    <hyperlink r:id="rId4" ref="D18"/>
    <hyperlink r:id="rId5" ref="D19"/>
    <hyperlink r:id="rId6" ref="D20"/>
    <hyperlink r:id="rId7" ref="D21"/>
    <hyperlink r:id="rId8" ref="D22"/>
    <hyperlink r:id="rId9" ref="D23"/>
    <hyperlink r:id="rId10" ref="D24"/>
    <hyperlink r:id="rId11" ref="D25"/>
    <hyperlink r:id="rId12" ref="D26"/>
    <hyperlink r:id="rId13" ref="D27"/>
    <hyperlink r:id="rId14" ref="D29"/>
    <hyperlink r:id="rId15" ref="D30"/>
    <hyperlink r:id="rId16" ref="D53"/>
    <hyperlink r:id="rId17" ref="D54"/>
    <hyperlink r:id="rId18" ref="D55"/>
    <hyperlink r:id="rId19" ref="D56"/>
    <hyperlink r:id="rId20" ref="D57"/>
    <hyperlink r:id="rId21" ref="D58"/>
    <hyperlink r:id="rId22" ref="D59"/>
    <hyperlink r:id="rId23" ref="D60"/>
    <hyperlink r:id="rId24" ref="D61"/>
    <hyperlink r:id="rId25" ref="D62"/>
    <hyperlink r:id="rId26" ref="D63"/>
    <hyperlink r:id="rId27" ref="D64"/>
    <hyperlink r:id="rId28" ref="D65"/>
    <hyperlink r:id="rId29" ref="D67"/>
    <hyperlink r:id="rId30" ref="D68"/>
    <hyperlink r:id="rId31" ref="D70"/>
    <hyperlink r:id="rId32" ref="D71"/>
    <hyperlink r:id="rId33" ref="D72"/>
    <hyperlink r:id="rId34" ref="D96"/>
    <hyperlink r:id="rId35" ref="D97"/>
    <hyperlink r:id="rId36" ref="D98"/>
    <hyperlink r:id="rId37" ref="D118"/>
    <hyperlink r:id="rId38" ref="D130"/>
    <hyperlink r:id="rId39" ref="D131"/>
    <hyperlink r:id="rId40" ref="D132"/>
    <hyperlink r:id="rId41" ref="D133"/>
    <hyperlink r:id="rId42" ref="D134"/>
    <hyperlink r:id="rId43" ref="D138"/>
    <hyperlink r:id="rId44" ref="D139"/>
    <hyperlink r:id="rId45" ref="D140"/>
    <hyperlink r:id="rId46" ref="D141"/>
    <hyperlink r:id="rId47" ref="D142"/>
    <hyperlink r:id="rId48" ref="D143"/>
    <hyperlink r:id="rId49" ref="D145"/>
    <hyperlink r:id="rId50" ref="D146"/>
    <hyperlink r:id="rId51" ref="D149"/>
    <hyperlink r:id="rId52" ref="D156"/>
    <hyperlink r:id="rId53" ref="B165"/>
    <hyperlink r:id="rId54" ref="B166"/>
    <hyperlink r:id="rId55" ref="B167"/>
    <hyperlink r:id="rId56" ref="B168"/>
    <hyperlink r:id="rId57" ref="B169"/>
    <hyperlink r:id="rId58" ref="B170"/>
    <hyperlink r:id="rId59" ref="B171"/>
    <hyperlink r:id="rId60" ref="B172"/>
    <hyperlink r:id="rId61" ref="B173"/>
    <hyperlink r:id="rId62" ref="B174"/>
    <hyperlink r:id="rId63" ref="B175"/>
    <hyperlink r:id="rId64" ref="B176"/>
    <hyperlink r:id="rId65" ref="B177"/>
    <hyperlink r:id="rId66" ref="B180"/>
    <hyperlink r:id="rId67" ref="B181"/>
    <hyperlink r:id="rId68" ref="B182"/>
    <hyperlink r:id="rId69" ref="B183"/>
    <hyperlink r:id="rId70" ref="B184"/>
    <hyperlink r:id="rId71" ref="B185"/>
    <hyperlink r:id="rId72" ref="B186"/>
    <hyperlink r:id="rId73" ref="B187"/>
    <hyperlink r:id="rId74" ref="B188"/>
    <hyperlink r:id="rId75" ref="B189"/>
    <hyperlink r:id="rId76" ref="B190"/>
    <hyperlink r:id="rId77" ref="B191"/>
    <hyperlink r:id="rId78" ref="B194"/>
    <hyperlink r:id="rId79" ref="B195"/>
    <hyperlink r:id="rId80" ref="B196"/>
    <hyperlink r:id="rId81" ref="B197"/>
    <hyperlink r:id="rId82" ref="B198"/>
    <hyperlink r:id="rId83" ref="B199"/>
    <hyperlink r:id="rId84" ref="B200"/>
    <hyperlink r:id="rId85" ref="B201"/>
    <hyperlink r:id="rId86" ref="B204"/>
    <hyperlink r:id="rId87" ref="B205"/>
    <hyperlink r:id="rId88" ref="B206"/>
    <hyperlink r:id="rId89" ref="B207"/>
    <hyperlink r:id="rId90" ref="B208"/>
  </hyperlinks>
  <drawing r:id="rId91"/>
</worksheet>
</file>